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Мой диск\Academica\Module 10\"/>
    </mc:Choice>
  </mc:AlternateContent>
  <bookViews>
    <workbookView xWindow="0" yWindow="0" windowWidth="28800" windowHeight="11610" activeTab="5"/>
  </bookViews>
  <sheets>
    <sheet name="Лист1" sheetId="1" r:id="rId1"/>
    <sheet name="Лист2" sheetId="2" r:id="rId2"/>
    <sheet name="1.1 " sheetId="6" r:id="rId3"/>
    <sheet name="1.1.а) топ3 по доле ..." sheetId="7" r:id="rId4"/>
    <sheet name="1.1.а)топ3 по товарооб на склад" sheetId="8" r:id="rId5"/>
    <sheet name="1.2 Диаграмма" sheetId="9" r:id="rId6"/>
  </sheets>
  <calcPr calcId="162913"/>
  <pivotCaches>
    <pivotCache cacheId="1" r:id="rId7"/>
  </pivotCaches>
  <extLst>
    <ext uri="GoogleSheetsCustomDataVersion2">
      <go:sheetsCustomData xmlns:go="http://customooxmlschemas.google.com/" r:id="rId8" roundtripDataChecksum="+UcvRUY73WJwSnyjajnw960rSWeh3bRnyrBdansFGQ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505" i="1" l="1"/>
  <c r="F505" i="1"/>
  <c r="E505" i="1"/>
  <c r="H505" i="1" s="1"/>
  <c r="G504" i="1"/>
  <c r="F504" i="1"/>
  <c r="E504" i="1"/>
  <c r="H504" i="1" s="1"/>
  <c r="G503" i="1"/>
  <c r="F503" i="1"/>
  <c r="E503" i="1"/>
  <c r="H503" i="1" s="1"/>
  <c r="H502" i="1"/>
  <c r="G502" i="1"/>
  <c r="F502" i="1"/>
  <c r="E502" i="1"/>
  <c r="G501" i="1"/>
  <c r="F501" i="1"/>
  <c r="E501" i="1"/>
  <c r="H501" i="1" s="1"/>
  <c r="G500" i="1"/>
  <c r="F500" i="1"/>
  <c r="E500" i="1"/>
  <c r="H500" i="1" s="1"/>
  <c r="H499" i="1"/>
  <c r="G499" i="1"/>
  <c r="F499" i="1"/>
  <c r="E499" i="1"/>
  <c r="H498" i="1"/>
  <c r="G498" i="1"/>
  <c r="F498" i="1"/>
  <c r="E498" i="1"/>
  <c r="G497" i="1"/>
  <c r="F497" i="1"/>
  <c r="E497" i="1"/>
  <c r="H497" i="1" s="1"/>
  <c r="G496" i="1"/>
  <c r="F496" i="1"/>
  <c r="E496" i="1"/>
  <c r="H496" i="1" s="1"/>
  <c r="G495" i="1"/>
  <c r="F495" i="1"/>
  <c r="E495" i="1"/>
  <c r="H495" i="1" s="1"/>
  <c r="G494" i="1"/>
  <c r="F494" i="1"/>
  <c r="E494" i="1"/>
  <c r="H494" i="1" s="1"/>
  <c r="G493" i="1"/>
  <c r="F493" i="1"/>
  <c r="E493" i="1"/>
  <c r="H493" i="1" s="1"/>
  <c r="H492" i="1"/>
  <c r="G492" i="1"/>
  <c r="F492" i="1"/>
  <c r="E492" i="1"/>
  <c r="G491" i="1"/>
  <c r="F491" i="1"/>
  <c r="E491" i="1"/>
  <c r="H491" i="1" s="1"/>
  <c r="H490" i="1"/>
  <c r="G490" i="1"/>
  <c r="F490" i="1"/>
  <c r="E490" i="1"/>
  <c r="G489" i="1"/>
  <c r="F489" i="1"/>
  <c r="E489" i="1"/>
  <c r="H489" i="1" s="1"/>
  <c r="G488" i="1"/>
  <c r="F488" i="1"/>
  <c r="E488" i="1"/>
  <c r="H488" i="1" s="1"/>
  <c r="G487" i="1"/>
  <c r="F487" i="1"/>
  <c r="E487" i="1"/>
  <c r="H487" i="1" s="1"/>
  <c r="H486" i="1"/>
  <c r="G486" i="1"/>
  <c r="F486" i="1"/>
  <c r="E486" i="1"/>
  <c r="G485" i="1"/>
  <c r="F485" i="1"/>
  <c r="E485" i="1"/>
  <c r="H485" i="1" s="1"/>
  <c r="G484" i="1"/>
  <c r="F484" i="1"/>
  <c r="E484" i="1"/>
  <c r="H484" i="1" s="1"/>
  <c r="G483" i="1"/>
  <c r="F483" i="1"/>
  <c r="E483" i="1"/>
  <c r="H483" i="1" s="1"/>
  <c r="G482" i="1"/>
  <c r="F482" i="1"/>
  <c r="E482" i="1"/>
  <c r="H482" i="1" s="1"/>
  <c r="G481" i="1"/>
  <c r="F481" i="1"/>
  <c r="E481" i="1"/>
  <c r="H481" i="1" s="1"/>
  <c r="H480" i="1"/>
  <c r="G480" i="1"/>
  <c r="F480" i="1"/>
  <c r="E480" i="1"/>
  <c r="G479" i="1"/>
  <c r="F479" i="1"/>
  <c r="E479" i="1"/>
  <c r="H479" i="1" s="1"/>
  <c r="H478" i="1"/>
  <c r="G478" i="1"/>
  <c r="F478" i="1"/>
  <c r="E478" i="1"/>
  <c r="G477" i="1"/>
  <c r="F477" i="1"/>
  <c r="E477" i="1"/>
  <c r="H477" i="1" s="1"/>
  <c r="G476" i="1"/>
  <c r="F476" i="1"/>
  <c r="E476" i="1"/>
  <c r="H476" i="1" s="1"/>
  <c r="G475" i="1"/>
  <c r="F475" i="1"/>
  <c r="E475" i="1"/>
  <c r="H475" i="1" s="1"/>
  <c r="H474" i="1"/>
  <c r="G474" i="1"/>
  <c r="F474" i="1"/>
  <c r="E474" i="1"/>
  <c r="G473" i="1"/>
  <c r="F473" i="1"/>
  <c r="E473" i="1"/>
  <c r="H473" i="1" s="1"/>
  <c r="G472" i="1"/>
  <c r="F472" i="1"/>
  <c r="E472" i="1"/>
  <c r="H472" i="1" s="1"/>
  <c r="G471" i="1"/>
  <c r="F471" i="1"/>
  <c r="E471" i="1"/>
  <c r="H471" i="1" s="1"/>
  <c r="G470" i="1"/>
  <c r="F470" i="1"/>
  <c r="E470" i="1"/>
  <c r="H470" i="1" s="1"/>
  <c r="G469" i="1"/>
  <c r="F469" i="1"/>
  <c r="E469" i="1"/>
  <c r="H469" i="1" s="1"/>
  <c r="H468" i="1"/>
  <c r="G468" i="1"/>
  <c r="F468" i="1"/>
  <c r="E468" i="1"/>
  <c r="G467" i="1"/>
  <c r="F467" i="1"/>
  <c r="E467" i="1"/>
  <c r="H467" i="1" s="1"/>
  <c r="H466" i="1"/>
  <c r="G466" i="1"/>
  <c r="F466" i="1"/>
  <c r="E466" i="1"/>
  <c r="G465" i="1"/>
  <c r="F465" i="1"/>
  <c r="E465" i="1"/>
  <c r="H465" i="1" s="1"/>
  <c r="G464" i="1"/>
  <c r="F464" i="1"/>
  <c r="E464" i="1"/>
  <c r="H464" i="1" s="1"/>
  <c r="G463" i="1"/>
  <c r="F463" i="1"/>
  <c r="E463" i="1"/>
  <c r="H463" i="1" s="1"/>
  <c r="H462" i="1"/>
  <c r="G462" i="1"/>
  <c r="F462" i="1"/>
  <c r="E462" i="1"/>
  <c r="G461" i="1"/>
  <c r="F461" i="1"/>
  <c r="E461" i="1"/>
  <c r="H461" i="1" s="1"/>
  <c r="G460" i="1"/>
  <c r="F460" i="1"/>
  <c r="E460" i="1"/>
  <c r="H460" i="1" s="1"/>
  <c r="G459" i="1"/>
  <c r="F459" i="1"/>
  <c r="E459" i="1"/>
  <c r="H459" i="1" s="1"/>
  <c r="G458" i="1"/>
  <c r="F458" i="1"/>
  <c r="E458" i="1"/>
  <c r="H458" i="1" s="1"/>
  <c r="G457" i="1"/>
  <c r="F457" i="1"/>
  <c r="E457" i="1"/>
  <c r="H457" i="1" s="1"/>
  <c r="H456" i="1"/>
  <c r="G456" i="1"/>
  <c r="F456" i="1"/>
  <c r="E456" i="1"/>
  <c r="G455" i="1"/>
  <c r="F455" i="1"/>
  <c r="E455" i="1"/>
  <c r="H455" i="1" s="1"/>
  <c r="H454" i="1"/>
  <c r="G454" i="1"/>
  <c r="F454" i="1"/>
  <c r="E454" i="1"/>
  <c r="G453" i="1"/>
  <c r="F453" i="1"/>
  <c r="E453" i="1"/>
  <c r="H453" i="1" s="1"/>
  <c r="G452" i="1"/>
  <c r="F452" i="1"/>
  <c r="E452" i="1"/>
  <c r="H452" i="1" s="1"/>
  <c r="G451" i="1"/>
  <c r="F451" i="1"/>
  <c r="E451" i="1"/>
  <c r="H451" i="1" s="1"/>
  <c r="H450" i="1"/>
  <c r="G450" i="1"/>
  <c r="F450" i="1"/>
  <c r="E450" i="1"/>
  <c r="G449" i="1"/>
  <c r="F449" i="1"/>
  <c r="E449" i="1"/>
  <c r="H449" i="1" s="1"/>
  <c r="G448" i="1"/>
  <c r="F448" i="1"/>
  <c r="E448" i="1"/>
  <c r="H448" i="1" s="1"/>
  <c r="G447" i="1"/>
  <c r="F447" i="1"/>
  <c r="E447" i="1"/>
  <c r="H447" i="1" s="1"/>
  <c r="G446" i="1"/>
  <c r="F446" i="1"/>
  <c r="E446" i="1"/>
  <c r="H446" i="1" s="1"/>
  <c r="G445" i="1"/>
  <c r="F445" i="1"/>
  <c r="E445" i="1"/>
  <c r="H445" i="1" s="1"/>
  <c r="H444" i="1"/>
  <c r="G444" i="1"/>
  <c r="F444" i="1"/>
  <c r="E444" i="1"/>
  <c r="G443" i="1"/>
  <c r="F443" i="1"/>
  <c r="E443" i="1"/>
  <c r="H443" i="1" s="1"/>
  <c r="H442" i="1"/>
  <c r="G442" i="1"/>
  <c r="F442" i="1"/>
  <c r="E442" i="1"/>
  <c r="G441" i="1"/>
  <c r="F441" i="1"/>
  <c r="E441" i="1"/>
  <c r="H441" i="1" s="1"/>
  <c r="G440" i="1"/>
  <c r="F440" i="1"/>
  <c r="E440" i="1"/>
  <c r="H440" i="1" s="1"/>
  <c r="G439" i="1"/>
  <c r="F439" i="1"/>
  <c r="E439" i="1"/>
  <c r="H439" i="1" s="1"/>
  <c r="H438" i="1"/>
  <c r="G438" i="1"/>
  <c r="F438" i="1"/>
  <c r="E438" i="1"/>
  <c r="G437" i="1"/>
  <c r="F437" i="1"/>
  <c r="E437" i="1"/>
  <c r="H437" i="1" s="1"/>
  <c r="G436" i="1"/>
  <c r="F436" i="1"/>
  <c r="E436" i="1"/>
  <c r="H436" i="1" s="1"/>
  <c r="G435" i="1"/>
  <c r="F435" i="1"/>
  <c r="E435" i="1"/>
  <c r="H435" i="1" s="1"/>
  <c r="G434" i="1"/>
  <c r="F434" i="1"/>
  <c r="E434" i="1"/>
  <c r="H434" i="1" s="1"/>
  <c r="G433" i="1"/>
  <c r="F433" i="1"/>
  <c r="E433" i="1"/>
  <c r="H433" i="1" s="1"/>
  <c r="H432" i="1"/>
  <c r="G432" i="1"/>
  <c r="F432" i="1"/>
  <c r="E432" i="1"/>
  <c r="G431" i="1"/>
  <c r="F431" i="1"/>
  <c r="E431" i="1"/>
  <c r="H431" i="1" s="1"/>
  <c r="H430" i="1"/>
  <c r="G430" i="1"/>
  <c r="F430" i="1"/>
  <c r="E430" i="1"/>
  <c r="G429" i="1"/>
  <c r="F429" i="1"/>
  <c r="E429" i="1"/>
  <c r="H429" i="1" s="1"/>
  <c r="G428" i="1"/>
  <c r="F428" i="1"/>
  <c r="E428" i="1"/>
  <c r="H428" i="1" s="1"/>
  <c r="G427" i="1"/>
  <c r="F427" i="1"/>
  <c r="E427" i="1"/>
  <c r="H427" i="1" s="1"/>
  <c r="H426" i="1"/>
  <c r="G426" i="1"/>
  <c r="F426" i="1"/>
  <c r="E426" i="1"/>
  <c r="G425" i="1"/>
  <c r="F425" i="1"/>
  <c r="E425" i="1"/>
  <c r="H425" i="1" s="1"/>
  <c r="G424" i="1"/>
  <c r="F424" i="1"/>
  <c r="E424" i="1"/>
  <c r="H424" i="1" s="1"/>
  <c r="G423" i="1"/>
  <c r="F423" i="1"/>
  <c r="E423" i="1"/>
  <c r="H423" i="1" s="1"/>
  <c r="G422" i="1"/>
  <c r="F422" i="1"/>
  <c r="E422" i="1"/>
  <c r="H422" i="1" s="1"/>
  <c r="G421" i="1"/>
  <c r="F421" i="1"/>
  <c r="E421" i="1"/>
  <c r="H421" i="1" s="1"/>
  <c r="G420" i="1"/>
  <c r="F420" i="1"/>
  <c r="E420" i="1"/>
  <c r="H420" i="1" s="1"/>
  <c r="G419" i="1"/>
  <c r="F419" i="1"/>
  <c r="E419" i="1"/>
  <c r="H419" i="1" s="1"/>
  <c r="H418" i="1"/>
  <c r="G418" i="1"/>
  <c r="F418" i="1"/>
  <c r="E418" i="1"/>
  <c r="G417" i="1"/>
  <c r="F417" i="1"/>
  <c r="E417" i="1"/>
  <c r="H417" i="1" s="1"/>
  <c r="G416" i="1"/>
  <c r="F416" i="1"/>
  <c r="E416" i="1"/>
  <c r="H416" i="1" s="1"/>
  <c r="G415" i="1"/>
  <c r="F415" i="1"/>
  <c r="E415" i="1"/>
  <c r="H415" i="1" s="1"/>
  <c r="H414" i="1"/>
  <c r="G414" i="1"/>
  <c r="F414" i="1"/>
  <c r="E414" i="1"/>
  <c r="G413" i="1"/>
  <c r="F413" i="1"/>
  <c r="E413" i="1"/>
  <c r="H413" i="1" s="1"/>
  <c r="G412" i="1"/>
  <c r="F412" i="1"/>
  <c r="E412" i="1"/>
  <c r="H412" i="1" s="1"/>
  <c r="G411" i="1"/>
  <c r="F411" i="1"/>
  <c r="E411" i="1"/>
  <c r="H411" i="1" s="1"/>
  <c r="G410" i="1"/>
  <c r="F410" i="1"/>
  <c r="E410" i="1"/>
  <c r="H410" i="1" s="1"/>
  <c r="G409" i="1"/>
  <c r="F409" i="1"/>
  <c r="E409" i="1"/>
  <c r="H409" i="1" s="1"/>
  <c r="G408" i="1"/>
  <c r="F408" i="1"/>
  <c r="E408" i="1"/>
  <c r="H408" i="1" s="1"/>
  <c r="G407" i="1"/>
  <c r="F407" i="1"/>
  <c r="E407" i="1"/>
  <c r="H407" i="1" s="1"/>
  <c r="H406" i="1"/>
  <c r="G406" i="1"/>
  <c r="F406" i="1"/>
  <c r="E406" i="1"/>
  <c r="G405" i="1"/>
  <c r="F405" i="1"/>
  <c r="E405" i="1"/>
  <c r="H405" i="1" s="1"/>
  <c r="H404" i="1"/>
  <c r="G404" i="1"/>
  <c r="F404" i="1"/>
  <c r="E404" i="1"/>
  <c r="G403" i="1"/>
  <c r="F403" i="1"/>
  <c r="E403" i="1"/>
  <c r="H403" i="1" s="1"/>
  <c r="H402" i="1"/>
  <c r="G402" i="1"/>
  <c r="F402" i="1"/>
  <c r="E402" i="1"/>
  <c r="G401" i="1"/>
  <c r="F401" i="1"/>
  <c r="E401" i="1"/>
  <c r="H401" i="1" s="1"/>
  <c r="G400" i="1"/>
  <c r="F400" i="1"/>
  <c r="E400" i="1"/>
  <c r="H400" i="1" s="1"/>
  <c r="G399" i="1"/>
  <c r="F399" i="1"/>
  <c r="E399" i="1"/>
  <c r="H399" i="1" s="1"/>
  <c r="G398" i="1"/>
  <c r="F398" i="1"/>
  <c r="E398" i="1"/>
  <c r="H398" i="1" s="1"/>
  <c r="G397" i="1"/>
  <c r="F397" i="1"/>
  <c r="E397" i="1"/>
  <c r="H397" i="1" s="1"/>
  <c r="G396" i="1"/>
  <c r="F396" i="1"/>
  <c r="E396" i="1"/>
  <c r="H396" i="1" s="1"/>
  <c r="G395" i="1"/>
  <c r="F395" i="1"/>
  <c r="E395" i="1"/>
  <c r="H395" i="1" s="1"/>
  <c r="H394" i="1"/>
  <c r="G394" i="1"/>
  <c r="F394" i="1"/>
  <c r="E394" i="1"/>
  <c r="G393" i="1"/>
  <c r="F393" i="1"/>
  <c r="E393" i="1"/>
  <c r="H393" i="1" s="1"/>
  <c r="H392" i="1"/>
  <c r="G392" i="1"/>
  <c r="F392" i="1"/>
  <c r="E392" i="1"/>
  <c r="G391" i="1"/>
  <c r="F391" i="1"/>
  <c r="E391" i="1"/>
  <c r="H391" i="1" s="1"/>
  <c r="H390" i="1"/>
  <c r="G390" i="1"/>
  <c r="F390" i="1"/>
  <c r="E390" i="1"/>
  <c r="G389" i="1"/>
  <c r="F389" i="1"/>
  <c r="E389" i="1"/>
  <c r="H389" i="1" s="1"/>
  <c r="G388" i="1"/>
  <c r="F388" i="1"/>
  <c r="E388" i="1"/>
  <c r="H388" i="1" s="1"/>
  <c r="G387" i="1"/>
  <c r="F387" i="1"/>
  <c r="E387" i="1"/>
  <c r="H387" i="1" s="1"/>
  <c r="H386" i="1"/>
  <c r="G386" i="1"/>
  <c r="F386" i="1"/>
  <c r="E386" i="1"/>
  <c r="G385" i="1"/>
  <c r="F385" i="1"/>
  <c r="E385" i="1"/>
  <c r="H385" i="1" s="1"/>
  <c r="G384" i="1"/>
  <c r="F384" i="1"/>
  <c r="E384" i="1"/>
  <c r="H384" i="1" s="1"/>
  <c r="G383" i="1"/>
  <c r="F383" i="1"/>
  <c r="E383" i="1"/>
  <c r="H383" i="1" s="1"/>
  <c r="H382" i="1"/>
  <c r="G382" i="1"/>
  <c r="F382" i="1"/>
  <c r="E382" i="1"/>
  <c r="G381" i="1"/>
  <c r="F381" i="1"/>
  <c r="E381" i="1"/>
  <c r="H381" i="1" s="1"/>
  <c r="H380" i="1"/>
  <c r="G380" i="1"/>
  <c r="F380" i="1"/>
  <c r="E380" i="1"/>
  <c r="G379" i="1"/>
  <c r="F379" i="1"/>
  <c r="E379" i="1"/>
  <c r="H379" i="1" s="1"/>
  <c r="H378" i="1"/>
  <c r="G378" i="1"/>
  <c r="F378" i="1"/>
  <c r="E378" i="1"/>
  <c r="G377" i="1"/>
  <c r="F377" i="1"/>
  <c r="E377" i="1"/>
  <c r="H377" i="1" s="1"/>
  <c r="G376" i="1"/>
  <c r="F376" i="1"/>
  <c r="E376" i="1"/>
  <c r="H376" i="1" s="1"/>
  <c r="G375" i="1"/>
  <c r="F375" i="1"/>
  <c r="E375" i="1"/>
  <c r="H375" i="1" s="1"/>
  <c r="H374" i="1"/>
  <c r="G374" i="1"/>
  <c r="F374" i="1"/>
  <c r="E374" i="1"/>
  <c r="G373" i="1"/>
  <c r="F373" i="1"/>
  <c r="E373" i="1"/>
  <c r="H373" i="1" s="1"/>
  <c r="G372" i="1"/>
  <c r="F372" i="1"/>
  <c r="E372" i="1"/>
  <c r="H372" i="1" s="1"/>
  <c r="G371" i="1"/>
  <c r="F371" i="1"/>
  <c r="E371" i="1"/>
  <c r="H371" i="1" s="1"/>
  <c r="H370" i="1"/>
  <c r="G370" i="1"/>
  <c r="F370" i="1"/>
  <c r="E370" i="1"/>
  <c r="G369" i="1"/>
  <c r="F369" i="1"/>
  <c r="E369" i="1"/>
  <c r="H369" i="1" s="1"/>
  <c r="H368" i="1"/>
  <c r="G368" i="1"/>
  <c r="F368" i="1"/>
  <c r="E368" i="1"/>
  <c r="G367" i="1"/>
  <c r="F367" i="1"/>
  <c r="E367" i="1"/>
  <c r="H367" i="1" s="1"/>
  <c r="H366" i="1"/>
  <c r="G366" i="1"/>
  <c r="F366" i="1"/>
  <c r="E366" i="1"/>
  <c r="G365" i="1"/>
  <c r="F365" i="1"/>
  <c r="E365" i="1"/>
  <c r="H365" i="1" s="1"/>
  <c r="G364" i="1"/>
  <c r="F364" i="1"/>
  <c r="E364" i="1"/>
  <c r="H364" i="1" s="1"/>
  <c r="G363" i="1"/>
  <c r="F363" i="1"/>
  <c r="E363" i="1"/>
  <c r="H363" i="1" s="1"/>
  <c r="H362" i="1"/>
  <c r="G362" i="1"/>
  <c r="F362" i="1"/>
  <c r="E362" i="1"/>
  <c r="G361" i="1"/>
  <c r="F361" i="1"/>
  <c r="E361" i="1"/>
  <c r="H361" i="1" s="1"/>
  <c r="G360" i="1"/>
  <c r="F360" i="1"/>
  <c r="E360" i="1"/>
  <c r="H360" i="1" s="1"/>
  <c r="G359" i="1"/>
  <c r="F359" i="1"/>
  <c r="E359" i="1"/>
  <c r="H359" i="1" s="1"/>
  <c r="H358" i="1"/>
  <c r="G358" i="1"/>
  <c r="F358" i="1"/>
  <c r="E358" i="1"/>
  <c r="G357" i="1"/>
  <c r="F357" i="1"/>
  <c r="E357" i="1"/>
  <c r="H357" i="1" s="1"/>
  <c r="G356" i="1"/>
  <c r="F356" i="1"/>
  <c r="E356" i="1"/>
  <c r="H356" i="1" s="1"/>
  <c r="G355" i="1"/>
  <c r="F355" i="1"/>
  <c r="E355" i="1"/>
  <c r="H355" i="1" s="1"/>
  <c r="H354" i="1"/>
  <c r="G354" i="1"/>
  <c r="F354" i="1"/>
  <c r="E354" i="1"/>
  <c r="G353" i="1"/>
  <c r="F353" i="1"/>
  <c r="E353" i="1"/>
  <c r="H353" i="1" s="1"/>
  <c r="G352" i="1"/>
  <c r="F352" i="1"/>
  <c r="E352" i="1"/>
  <c r="H352" i="1" s="1"/>
  <c r="G351" i="1"/>
  <c r="F351" i="1"/>
  <c r="E351" i="1"/>
  <c r="H351" i="1" s="1"/>
  <c r="H350" i="1"/>
  <c r="G350" i="1"/>
  <c r="F350" i="1"/>
  <c r="E350" i="1"/>
  <c r="G349" i="1"/>
  <c r="F349" i="1"/>
  <c r="E349" i="1"/>
  <c r="H349" i="1" s="1"/>
  <c r="G348" i="1"/>
  <c r="F348" i="1"/>
  <c r="E348" i="1"/>
  <c r="H348" i="1" s="1"/>
  <c r="G347" i="1"/>
  <c r="F347" i="1"/>
  <c r="E347" i="1"/>
  <c r="H347" i="1" s="1"/>
  <c r="H346" i="1"/>
  <c r="G346" i="1"/>
  <c r="F346" i="1"/>
  <c r="E346" i="1"/>
  <c r="G345" i="1"/>
  <c r="F345" i="1"/>
  <c r="E345" i="1"/>
  <c r="H345" i="1" s="1"/>
  <c r="G344" i="1"/>
  <c r="F344" i="1"/>
  <c r="E344" i="1"/>
  <c r="H344" i="1" s="1"/>
  <c r="G343" i="1"/>
  <c r="F343" i="1"/>
  <c r="E343" i="1"/>
  <c r="H343" i="1" s="1"/>
  <c r="H342" i="1"/>
  <c r="G342" i="1"/>
  <c r="F342" i="1"/>
  <c r="E342" i="1"/>
  <c r="G341" i="1"/>
  <c r="F341" i="1"/>
  <c r="E341" i="1"/>
  <c r="H341" i="1" s="1"/>
  <c r="G340" i="1"/>
  <c r="F340" i="1"/>
  <c r="E340" i="1"/>
  <c r="H340" i="1" s="1"/>
  <c r="G339" i="1"/>
  <c r="F339" i="1"/>
  <c r="E339" i="1"/>
  <c r="H339" i="1" s="1"/>
  <c r="H338" i="1"/>
  <c r="G338" i="1"/>
  <c r="F338" i="1"/>
  <c r="E338" i="1"/>
  <c r="G337" i="1"/>
  <c r="F337" i="1"/>
  <c r="E337" i="1"/>
  <c r="H337" i="1" s="1"/>
  <c r="G336" i="1"/>
  <c r="F336" i="1"/>
  <c r="E336" i="1"/>
  <c r="H336" i="1" s="1"/>
  <c r="G335" i="1"/>
  <c r="F335" i="1"/>
  <c r="E335" i="1"/>
  <c r="H335" i="1" s="1"/>
  <c r="H334" i="1"/>
  <c r="G334" i="1"/>
  <c r="F334" i="1"/>
  <c r="E334" i="1"/>
  <c r="G333" i="1"/>
  <c r="F333" i="1"/>
  <c r="E333" i="1"/>
  <c r="H333" i="1" s="1"/>
  <c r="G332" i="1"/>
  <c r="F332" i="1"/>
  <c r="E332" i="1"/>
  <c r="H332" i="1" s="1"/>
  <c r="G331" i="1"/>
  <c r="F331" i="1"/>
  <c r="E331" i="1"/>
  <c r="H331" i="1" s="1"/>
  <c r="H330" i="1"/>
  <c r="G330" i="1"/>
  <c r="F330" i="1"/>
  <c r="E330" i="1"/>
  <c r="G329" i="1"/>
  <c r="F329" i="1"/>
  <c r="E329" i="1"/>
  <c r="H329" i="1" s="1"/>
  <c r="G328" i="1"/>
  <c r="F328" i="1"/>
  <c r="E328" i="1"/>
  <c r="H328" i="1" s="1"/>
  <c r="G327" i="1"/>
  <c r="F327" i="1"/>
  <c r="E327" i="1"/>
  <c r="H327" i="1" s="1"/>
  <c r="H326" i="1"/>
  <c r="G326" i="1"/>
  <c r="F326" i="1"/>
  <c r="E326" i="1"/>
  <c r="G325" i="1"/>
  <c r="F325" i="1"/>
  <c r="E325" i="1"/>
  <c r="H325" i="1" s="1"/>
  <c r="G324" i="1"/>
  <c r="F324" i="1"/>
  <c r="E324" i="1"/>
  <c r="H324" i="1" s="1"/>
  <c r="G323" i="1"/>
  <c r="F323" i="1"/>
  <c r="E323" i="1"/>
  <c r="H323" i="1" s="1"/>
  <c r="H322" i="1"/>
  <c r="G322" i="1"/>
  <c r="F322" i="1"/>
  <c r="E322" i="1"/>
  <c r="G321" i="1"/>
  <c r="F321" i="1"/>
  <c r="E321" i="1"/>
  <c r="H321" i="1" s="1"/>
  <c r="G320" i="1"/>
  <c r="F320" i="1"/>
  <c r="E320" i="1"/>
  <c r="H320" i="1" s="1"/>
  <c r="G319" i="1"/>
  <c r="F319" i="1"/>
  <c r="E319" i="1"/>
  <c r="H319" i="1" s="1"/>
  <c r="H318" i="1"/>
  <c r="G318" i="1"/>
  <c r="F318" i="1"/>
  <c r="E318" i="1"/>
  <c r="G317" i="1"/>
  <c r="F317" i="1"/>
  <c r="E317" i="1"/>
  <c r="H317" i="1" s="1"/>
  <c r="G316" i="1"/>
  <c r="F316" i="1"/>
  <c r="E316" i="1"/>
  <c r="H316" i="1" s="1"/>
  <c r="G315" i="1"/>
  <c r="F315" i="1"/>
  <c r="E315" i="1"/>
  <c r="H315" i="1" s="1"/>
  <c r="H314" i="1"/>
  <c r="G314" i="1"/>
  <c r="F314" i="1"/>
  <c r="E314" i="1"/>
  <c r="G313" i="1"/>
  <c r="F313" i="1"/>
  <c r="E313" i="1"/>
  <c r="H313" i="1" s="1"/>
  <c r="G312" i="1"/>
  <c r="F312" i="1"/>
  <c r="E312" i="1"/>
  <c r="H312" i="1" s="1"/>
  <c r="G311" i="1"/>
  <c r="F311" i="1"/>
  <c r="E311" i="1"/>
  <c r="H311" i="1" s="1"/>
  <c r="H310" i="1"/>
  <c r="G310" i="1"/>
  <c r="F310" i="1"/>
  <c r="E310" i="1"/>
  <c r="G309" i="1"/>
  <c r="F309" i="1"/>
  <c r="E309" i="1"/>
  <c r="H309" i="1" s="1"/>
  <c r="G308" i="1"/>
  <c r="F308" i="1"/>
  <c r="E308" i="1"/>
  <c r="H308" i="1" s="1"/>
  <c r="G307" i="1"/>
  <c r="F307" i="1"/>
  <c r="E307" i="1"/>
  <c r="H307" i="1" s="1"/>
  <c r="H306" i="1"/>
  <c r="G306" i="1"/>
  <c r="F306" i="1"/>
  <c r="E306" i="1"/>
  <c r="G305" i="1"/>
  <c r="F305" i="1"/>
  <c r="E305" i="1"/>
  <c r="H305" i="1" s="1"/>
  <c r="G304" i="1"/>
  <c r="F304" i="1"/>
  <c r="E304" i="1"/>
  <c r="H304" i="1" s="1"/>
  <c r="G303" i="1"/>
  <c r="F303" i="1"/>
  <c r="E303" i="1"/>
  <c r="H303" i="1" s="1"/>
  <c r="H302" i="1"/>
  <c r="G302" i="1"/>
  <c r="F302" i="1"/>
  <c r="E302" i="1"/>
  <c r="G301" i="1"/>
  <c r="F301" i="1"/>
  <c r="E301" i="1"/>
  <c r="H301" i="1" s="1"/>
  <c r="G300" i="1"/>
  <c r="F300" i="1"/>
  <c r="E300" i="1"/>
  <c r="H300" i="1" s="1"/>
  <c r="G299" i="1"/>
  <c r="F299" i="1"/>
  <c r="E299" i="1"/>
  <c r="H299" i="1" s="1"/>
  <c r="H298" i="1"/>
  <c r="G298" i="1"/>
  <c r="F298" i="1"/>
  <c r="E298" i="1"/>
  <c r="G297" i="1"/>
  <c r="F297" i="1"/>
  <c r="E297" i="1"/>
  <c r="H297" i="1" s="1"/>
  <c r="G296" i="1"/>
  <c r="F296" i="1"/>
  <c r="E296" i="1"/>
  <c r="H296" i="1" s="1"/>
  <c r="G295" i="1"/>
  <c r="F295" i="1"/>
  <c r="E295" i="1"/>
  <c r="H295" i="1" s="1"/>
  <c r="H294" i="1"/>
  <c r="G294" i="1"/>
  <c r="F294" i="1"/>
  <c r="E294" i="1"/>
  <c r="G293" i="1"/>
  <c r="F293" i="1"/>
  <c r="E293" i="1"/>
  <c r="H293" i="1" s="1"/>
  <c r="G292" i="1"/>
  <c r="F292" i="1"/>
  <c r="E292" i="1"/>
  <c r="H292" i="1" s="1"/>
  <c r="G291" i="1"/>
  <c r="F291" i="1"/>
  <c r="E291" i="1"/>
  <c r="H291" i="1" s="1"/>
  <c r="H290" i="1"/>
  <c r="G290" i="1"/>
  <c r="F290" i="1"/>
  <c r="E290" i="1"/>
  <c r="G289" i="1"/>
  <c r="F289" i="1"/>
  <c r="E289" i="1"/>
  <c r="H289" i="1" s="1"/>
  <c r="G288" i="1"/>
  <c r="F288" i="1"/>
  <c r="E288" i="1"/>
  <c r="H288" i="1" s="1"/>
  <c r="G287" i="1"/>
  <c r="F287" i="1"/>
  <c r="E287" i="1"/>
  <c r="H287" i="1" s="1"/>
  <c r="H286" i="1"/>
  <c r="G286" i="1"/>
  <c r="F286" i="1"/>
  <c r="E286" i="1"/>
  <c r="G285" i="1"/>
  <c r="F285" i="1"/>
  <c r="E285" i="1"/>
  <c r="H285" i="1" s="1"/>
  <c r="G284" i="1"/>
  <c r="F284" i="1"/>
  <c r="E284" i="1"/>
  <c r="H284" i="1" s="1"/>
  <c r="G283" i="1"/>
  <c r="F283" i="1"/>
  <c r="E283" i="1"/>
  <c r="H283" i="1" s="1"/>
  <c r="H282" i="1"/>
  <c r="G282" i="1"/>
  <c r="F282" i="1"/>
  <c r="E282" i="1"/>
  <c r="G281" i="1"/>
  <c r="F281" i="1"/>
  <c r="E281" i="1"/>
  <c r="H281" i="1" s="1"/>
  <c r="G280" i="1"/>
  <c r="F280" i="1"/>
  <c r="E280" i="1"/>
  <c r="H280" i="1" s="1"/>
  <c r="G279" i="1"/>
  <c r="F279" i="1"/>
  <c r="E279" i="1"/>
  <c r="H279" i="1" s="1"/>
  <c r="H278" i="1"/>
  <c r="G278" i="1"/>
  <c r="F278" i="1"/>
  <c r="E278" i="1"/>
  <c r="G277" i="1"/>
  <c r="F277" i="1"/>
  <c r="E277" i="1"/>
  <c r="H277" i="1" s="1"/>
  <c r="G276" i="1"/>
  <c r="F276" i="1"/>
  <c r="E276" i="1"/>
  <c r="H276" i="1" s="1"/>
  <c r="G275" i="1"/>
  <c r="F275" i="1"/>
  <c r="E275" i="1"/>
  <c r="H275" i="1" s="1"/>
  <c r="H274" i="1"/>
  <c r="G274" i="1"/>
  <c r="F274" i="1"/>
  <c r="E274" i="1"/>
  <c r="G273" i="1"/>
  <c r="F273" i="1"/>
  <c r="E273" i="1"/>
  <c r="H273" i="1" s="1"/>
  <c r="G272" i="1"/>
  <c r="F272" i="1"/>
  <c r="E272" i="1"/>
  <c r="H272" i="1" s="1"/>
  <c r="G271" i="1"/>
  <c r="F271" i="1"/>
  <c r="E271" i="1"/>
  <c r="H271" i="1" s="1"/>
  <c r="H270" i="1"/>
  <c r="G270" i="1"/>
  <c r="F270" i="1"/>
  <c r="E270" i="1"/>
  <c r="G269" i="1"/>
  <c r="F269" i="1"/>
  <c r="E269" i="1"/>
  <c r="H269" i="1" s="1"/>
  <c r="G268" i="1"/>
  <c r="F268" i="1"/>
  <c r="E268" i="1"/>
  <c r="H268" i="1" s="1"/>
  <c r="G267" i="1"/>
  <c r="F267" i="1"/>
  <c r="E267" i="1"/>
  <c r="H267" i="1" s="1"/>
  <c r="H266" i="1"/>
  <c r="G266" i="1"/>
  <c r="F266" i="1"/>
  <c r="E266" i="1"/>
  <c r="G265" i="1"/>
  <c r="F265" i="1"/>
  <c r="E265" i="1"/>
  <c r="H265" i="1" s="1"/>
  <c r="G264" i="1"/>
  <c r="F264" i="1"/>
  <c r="E264" i="1"/>
  <c r="H264" i="1" s="1"/>
  <c r="G263" i="1"/>
  <c r="F263" i="1"/>
  <c r="E263" i="1"/>
  <c r="H263" i="1" s="1"/>
  <c r="H262" i="1"/>
  <c r="G262" i="1"/>
  <c r="F262" i="1"/>
  <c r="E262" i="1"/>
  <c r="G261" i="1"/>
  <c r="F261" i="1"/>
  <c r="E261" i="1"/>
  <c r="H261" i="1" s="1"/>
  <c r="G260" i="1"/>
  <c r="F260" i="1"/>
  <c r="E260" i="1"/>
  <c r="H260" i="1" s="1"/>
  <c r="G259" i="1"/>
  <c r="F259" i="1"/>
  <c r="E259" i="1"/>
  <c r="H259" i="1" s="1"/>
  <c r="H258" i="1"/>
  <c r="G258" i="1"/>
  <c r="F258" i="1"/>
  <c r="E258" i="1"/>
  <c r="G257" i="1"/>
  <c r="F257" i="1"/>
  <c r="E257" i="1"/>
  <c r="H257" i="1" s="1"/>
  <c r="G256" i="1"/>
  <c r="F256" i="1"/>
  <c r="E256" i="1"/>
  <c r="H256" i="1" s="1"/>
  <c r="G255" i="1"/>
  <c r="F255" i="1"/>
  <c r="E255" i="1"/>
  <c r="H255" i="1" s="1"/>
  <c r="H254" i="1"/>
  <c r="G254" i="1"/>
  <c r="F254" i="1"/>
  <c r="E254" i="1"/>
  <c r="G253" i="1"/>
  <c r="F253" i="1"/>
  <c r="E253" i="1"/>
  <c r="H253" i="1" s="1"/>
  <c r="G252" i="1"/>
  <c r="F252" i="1"/>
  <c r="E252" i="1"/>
  <c r="H252" i="1" s="1"/>
  <c r="G251" i="1"/>
  <c r="F251" i="1"/>
  <c r="E251" i="1"/>
  <c r="H251" i="1" s="1"/>
  <c r="H250" i="1"/>
  <c r="G250" i="1"/>
  <c r="F250" i="1"/>
  <c r="E250" i="1"/>
  <c r="G249" i="1"/>
  <c r="F249" i="1"/>
  <c r="E249" i="1"/>
  <c r="H249" i="1" s="1"/>
  <c r="G248" i="1"/>
  <c r="F248" i="1"/>
  <c r="E248" i="1"/>
  <c r="H248" i="1" s="1"/>
  <c r="G247" i="1"/>
  <c r="F247" i="1"/>
  <c r="E247" i="1"/>
  <c r="H247" i="1" s="1"/>
  <c r="H246" i="1"/>
  <c r="G246" i="1"/>
  <c r="F246" i="1"/>
  <c r="E246" i="1"/>
  <c r="G245" i="1"/>
  <c r="F245" i="1"/>
  <c r="E245" i="1"/>
  <c r="H245" i="1" s="1"/>
  <c r="G244" i="1"/>
  <c r="F244" i="1"/>
  <c r="E244" i="1"/>
  <c r="H244" i="1" s="1"/>
  <c r="G243" i="1"/>
  <c r="F243" i="1"/>
  <c r="E243" i="1"/>
  <c r="H243" i="1" s="1"/>
  <c r="H242" i="1"/>
  <c r="G242" i="1"/>
  <c r="F242" i="1"/>
  <c r="E242" i="1"/>
  <c r="G241" i="1"/>
  <c r="F241" i="1"/>
  <c r="E241" i="1"/>
  <c r="H241" i="1" s="1"/>
  <c r="G240" i="1"/>
  <c r="F240" i="1"/>
  <c r="E240" i="1"/>
  <c r="H240" i="1" s="1"/>
  <c r="G239" i="1"/>
  <c r="F239" i="1"/>
  <c r="E239" i="1"/>
  <c r="H239" i="1" s="1"/>
  <c r="H238" i="1"/>
  <c r="G238" i="1"/>
  <c r="F238" i="1"/>
  <c r="E238" i="1"/>
  <c r="G237" i="1"/>
  <c r="F237" i="1"/>
  <c r="E237" i="1"/>
  <c r="H237" i="1" s="1"/>
  <c r="G236" i="1"/>
  <c r="F236" i="1"/>
  <c r="E236" i="1"/>
  <c r="H236" i="1" s="1"/>
  <c r="H235" i="1"/>
  <c r="G235" i="1"/>
  <c r="F235" i="1"/>
  <c r="E235" i="1"/>
  <c r="H234" i="1"/>
  <c r="G234" i="1"/>
  <c r="F234" i="1"/>
  <c r="E234" i="1"/>
  <c r="G233" i="1"/>
  <c r="F233" i="1"/>
  <c r="E233" i="1"/>
  <c r="H233" i="1" s="1"/>
  <c r="G232" i="1"/>
  <c r="F232" i="1"/>
  <c r="E232" i="1"/>
  <c r="H232" i="1" s="1"/>
  <c r="G231" i="1"/>
  <c r="F231" i="1"/>
  <c r="E231" i="1"/>
  <c r="H231" i="1" s="1"/>
  <c r="H230" i="1"/>
  <c r="G230" i="1"/>
  <c r="F230" i="1"/>
  <c r="E230" i="1"/>
  <c r="G229" i="1"/>
  <c r="F229" i="1"/>
  <c r="E229" i="1"/>
  <c r="H229" i="1" s="1"/>
  <c r="G228" i="1"/>
  <c r="F228" i="1"/>
  <c r="E228" i="1"/>
  <c r="H228" i="1" s="1"/>
  <c r="G227" i="1"/>
  <c r="F227" i="1"/>
  <c r="E227" i="1"/>
  <c r="H227" i="1" s="1"/>
  <c r="H226" i="1"/>
  <c r="G226" i="1"/>
  <c r="F226" i="1"/>
  <c r="E226" i="1"/>
  <c r="G225" i="1"/>
  <c r="F225" i="1"/>
  <c r="E225" i="1"/>
  <c r="H225" i="1" s="1"/>
  <c r="G224" i="1"/>
  <c r="F224" i="1"/>
  <c r="E224" i="1"/>
  <c r="H224" i="1" s="1"/>
  <c r="H223" i="1"/>
  <c r="G223" i="1"/>
  <c r="F223" i="1"/>
  <c r="E223" i="1"/>
  <c r="H222" i="1"/>
  <c r="G222" i="1"/>
  <c r="F222" i="1"/>
  <c r="E222" i="1"/>
  <c r="G221" i="1"/>
  <c r="F221" i="1"/>
  <c r="E221" i="1"/>
  <c r="H221" i="1" s="1"/>
  <c r="G220" i="1"/>
  <c r="F220" i="1"/>
  <c r="E220" i="1"/>
  <c r="H220" i="1" s="1"/>
  <c r="G219" i="1"/>
  <c r="F219" i="1"/>
  <c r="E219" i="1"/>
  <c r="H219" i="1" s="1"/>
  <c r="H218" i="1"/>
  <c r="G218" i="1"/>
  <c r="F218" i="1"/>
  <c r="E218" i="1"/>
  <c r="G217" i="1"/>
  <c r="F217" i="1"/>
  <c r="E217" i="1"/>
  <c r="H217" i="1" s="1"/>
  <c r="G216" i="1"/>
  <c r="F216" i="1"/>
  <c r="E216" i="1"/>
  <c r="H216" i="1" s="1"/>
  <c r="G215" i="1"/>
  <c r="F215" i="1"/>
  <c r="E215" i="1"/>
  <c r="H215" i="1" s="1"/>
  <c r="H214" i="1"/>
  <c r="G214" i="1"/>
  <c r="F214" i="1"/>
  <c r="E214" i="1"/>
  <c r="G213" i="1"/>
  <c r="F213" i="1"/>
  <c r="E213" i="1"/>
  <c r="H213" i="1" s="1"/>
  <c r="G212" i="1"/>
  <c r="F212" i="1"/>
  <c r="E212" i="1"/>
  <c r="H212" i="1" s="1"/>
  <c r="H211" i="1"/>
  <c r="G211" i="1"/>
  <c r="F211" i="1"/>
  <c r="E211" i="1"/>
  <c r="H210" i="1"/>
  <c r="G210" i="1"/>
  <c r="F210" i="1"/>
  <c r="E210" i="1"/>
  <c r="G209" i="1"/>
  <c r="F209" i="1"/>
  <c r="E209" i="1"/>
  <c r="H209" i="1" s="1"/>
  <c r="G208" i="1"/>
  <c r="F208" i="1"/>
  <c r="E208" i="1"/>
  <c r="H208" i="1" s="1"/>
  <c r="G207" i="1"/>
  <c r="F207" i="1"/>
  <c r="E207" i="1"/>
  <c r="H207" i="1" s="1"/>
  <c r="H206" i="1"/>
  <c r="G206" i="1"/>
  <c r="F206" i="1"/>
  <c r="E206" i="1"/>
  <c r="G205" i="1"/>
  <c r="F205" i="1"/>
  <c r="E205" i="1"/>
  <c r="H205" i="1" s="1"/>
  <c r="G204" i="1"/>
  <c r="F204" i="1"/>
  <c r="E204" i="1"/>
  <c r="H204" i="1" s="1"/>
  <c r="G203" i="1"/>
  <c r="F203" i="1"/>
  <c r="E203" i="1"/>
  <c r="H203" i="1" s="1"/>
  <c r="H202" i="1"/>
  <c r="G202" i="1"/>
  <c r="F202" i="1"/>
  <c r="E202" i="1"/>
  <c r="G201" i="1"/>
  <c r="F201" i="1"/>
  <c r="E201" i="1"/>
  <c r="H201" i="1" s="1"/>
  <c r="G200" i="1"/>
  <c r="F200" i="1"/>
  <c r="E200" i="1"/>
  <c r="H200" i="1" s="1"/>
  <c r="H199" i="1"/>
  <c r="G199" i="1"/>
  <c r="F199" i="1"/>
  <c r="E199" i="1"/>
  <c r="H198" i="1"/>
  <c r="G198" i="1"/>
  <c r="F198" i="1"/>
  <c r="E198" i="1"/>
  <c r="G197" i="1"/>
  <c r="F197" i="1"/>
  <c r="E197" i="1"/>
  <c r="H197" i="1" s="1"/>
  <c r="G196" i="1"/>
  <c r="F196" i="1"/>
  <c r="E196" i="1"/>
  <c r="H196" i="1" s="1"/>
  <c r="G195" i="1"/>
  <c r="F195" i="1"/>
  <c r="E195" i="1"/>
  <c r="H195" i="1" s="1"/>
  <c r="H194" i="1"/>
  <c r="G194" i="1"/>
  <c r="F194" i="1"/>
  <c r="E194" i="1"/>
  <c r="G193" i="1"/>
  <c r="F193" i="1"/>
  <c r="E193" i="1"/>
  <c r="H193" i="1" s="1"/>
  <c r="G192" i="1"/>
  <c r="F192" i="1"/>
  <c r="E192" i="1"/>
  <c r="H192" i="1" s="1"/>
  <c r="G191" i="1"/>
  <c r="F191" i="1"/>
  <c r="E191" i="1"/>
  <c r="H191" i="1" s="1"/>
  <c r="H190" i="1"/>
  <c r="G190" i="1"/>
  <c r="F190" i="1"/>
  <c r="E190" i="1"/>
  <c r="G189" i="1"/>
  <c r="F189" i="1"/>
  <c r="E189" i="1"/>
  <c r="H189" i="1" s="1"/>
  <c r="G188" i="1"/>
  <c r="F188" i="1"/>
  <c r="E188" i="1"/>
  <c r="H188" i="1" s="1"/>
  <c r="H187" i="1"/>
  <c r="G187" i="1"/>
  <c r="F187" i="1"/>
  <c r="E187" i="1"/>
  <c r="H186" i="1"/>
  <c r="G186" i="1"/>
  <c r="F186" i="1"/>
  <c r="E186" i="1"/>
  <c r="G185" i="1"/>
  <c r="F185" i="1"/>
  <c r="E185" i="1"/>
  <c r="H185" i="1" s="1"/>
  <c r="G184" i="1"/>
  <c r="F184" i="1"/>
  <c r="E184" i="1"/>
  <c r="H184" i="1" s="1"/>
  <c r="G183" i="1"/>
  <c r="F183" i="1"/>
  <c r="E183" i="1"/>
  <c r="H183" i="1" s="1"/>
  <c r="H182" i="1"/>
  <c r="G182" i="1"/>
  <c r="F182" i="1"/>
  <c r="E182" i="1"/>
  <c r="G181" i="1"/>
  <c r="F181" i="1"/>
  <c r="E181" i="1"/>
  <c r="H181" i="1" s="1"/>
  <c r="G180" i="1"/>
  <c r="F180" i="1"/>
  <c r="E180" i="1"/>
  <c r="H180" i="1" s="1"/>
  <c r="G179" i="1"/>
  <c r="F179" i="1"/>
  <c r="E179" i="1"/>
  <c r="H179" i="1" s="1"/>
  <c r="H178" i="1"/>
  <c r="G178" i="1"/>
  <c r="F178" i="1"/>
  <c r="E178" i="1"/>
  <c r="G177" i="1"/>
  <c r="F177" i="1"/>
  <c r="E177" i="1"/>
  <c r="H177" i="1" s="1"/>
  <c r="G176" i="1"/>
  <c r="F176" i="1"/>
  <c r="E176" i="1"/>
  <c r="H176" i="1" s="1"/>
  <c r="H175" i="1"/>
  <c r="G175" i="1"/>
  <c r="F175" i="1"/>
  <c r="E175" i="1"/>
  <c r="H174" i="1"/>
  <c r="G174" i="1"/>
  <c r="F174" i="1"/>
  <c r="E174" i="1"/>
  <c r="G173" i="1"/>
  <c r="F173" i="1"/>
  <c r="E173" i="1"/>
  <c r="H173" i="1" s="1"/>
  <c r="G172" i="1"/>
  <c r="F172" i="1"/>
  <c r="E172" i="1"/>
  <c r="H172" i="1" s="1"/>
  <c r="G171" i="1"/>
  <c r="F171" i="1"/>
  <c r="E171" i="1"/>
  <c r="H171" i="1" s="1"/>
  <c r="H170" i="1"/>
  <c r="G170" i="1"/>
  <c r="F170" i="1"/>
  <c r="E170" i="1"/>
  <c r="G169" i="1"/>
  <c r="F169" i="1"/>
  <c r="E169" i="1"/>
  <c r="H169" i="1" s="1"/>
  <c r="G168" i="1"/>
  <c r="F168" i="1"/>
  <c r="E168" i="1"/>
  <c r="H168" i="1" s="1"/>
  <c r="G167" i="1"/>
  <c r="F167" i="1"/>
  <c r="E167" i="1"/>
  <c r="H167" i="1" s="1"/>
  <c r="H166" i="1"/>
  <c r="G166" i="1"/>
  <c r="F166" i="1"/>
  <c r="E166" i="1"/>
  <c r="G165" i="1"/>
  <c r="F165" i="1"/>
  <c r="E165" i="1"/>
  <c r="H165" i="1" s="1"/>
  <c r="G164" i="1"/>
  <c r="F164" i="1"/>
  <c r="E164" i="1"/>
  <c r="H164" i="1" s="1"/>
  <c r="H163" i="1"/>
  <c r="G163" i="1"/>
  <c r="F163" i="1"/>
  <c r="E163" i="1"/>
  <c r="H162" i="1"/>
  <c r="G162" i="1"/>
  <c r="F162" i="1"/>
  <c r="E162" i="1"/>
  <c r="G161" i="1"/>
  <c r="F161" i="1"/>
  <c r="E161" i="1"/>
  <c r="H161" i="1" s="1"/>
  <c r="G160" i="1"/>
  <c r="F160" i="1"/>
  <c r="E160" i="1"/>
  <c r="H160" i="1" s="1"/>
  <c r="G159" i="1"/>
  <c r="F159" i="1"/>
  <c r="E159" i="1"/>
  <c r="H159" i="1" s="1"/>
  <c r="H158" i="1"/>
  <c r="G158" i="1"/>
  <c r="F158" i="1"/>
  <c r="E158" i="1"/>
  <c r="G157" i="1"/>
  <c r="F157" i="1"/>
  <c r="E157" i="1"/>
  <c r="H157" i="1" s="1"/>
  <c r="G156" i="1"/>
  <c r="F156" i="1"/>
  <c r="E156" i="1"/>
  <c r="H156" i="1" s="1"/>
  <c r="G155" i="1"/>
  <c r="F155" i="1"/>
  <c r="E155" i="1"/>
  <c r="H155" i="1" s="1"/>
  <c r="H154" i="1"/>
  <c r="G154" i="1"/>
  <c r="F154" i="1"/>
  <c r="E154" i="1"/>
  <c r="G153" i="1"/>
  <c r="F153" i="1"/>
  <c r="E153" i="1"/>
  <c r="H153" i="1" s="1"/>
  <c r="G152" i="1"/>
  <c r="F152" i="1"/>
  <c r="E152" i="1"/>
  <c r="H152" i="1" s="1"/>
  <c r="G151" i="1"/>
  <c r="F151" i="1"/>
  <c r="E151" i="1"/>
  <c r="H151" i="1" s="1"/>
  <c r="H150" i="1"/>
  <c r="G150" i="1"/>
  <c r="F150" i="1"/>
  <c r="E150" i="1"/>
  <c r="G149" i="1"/>
  <c r="F149" i="1"/>
  <c r="E149" i="1"/>
  <c r="H149" i="1" s="1"/>
  <c r="G148" i="1"/>
  <c r="F148" i="1"/>
  <c r="E148" i="1"/>
  <c r="H148" i="1" s="1"/>
  <c r="G147" i="1"/>
  <c r="F147" i="1"/>
  <c r="E147" i="1"/>
  <c r="H147" i="1" s="1"/>
  <c r="H146" i="1"/>
  <c r="G146" i="1"/>
  <c r="F146" i="1"/>
  <c r="E146" i="1"/>
  <c r="G145" i="1"/>
  <c r="F145" i="1"/>
  <c r="E145" i="1"/>
  <c r="H145" i="1" s="1"/>
  <c r="G144" i="1"/>
  <c r="F144" i="1"/>
  <c r="E144" i="1"/>
  <c r="H144" i="1" s="1"/>
  <c r="H143" i="1"/>
  <c r="G143" i="1"/>
  <c r="F143" i="1"/>
  <c r="E143" i="1"/>
  <c r="H142" i="1"/>
  <c r="G142" i="1"/>
  <c r="F142" i="1"/>
  <c r="E142" i="1"/>
  <c r="G141" i="1"/>
  <c r="F141" i="1"/>
  <c r="E141" i="1"/>
  <c r="H141" i="1" s="1"/>
  <c r="G140" i="1"/>
  <c r="F140" i="1"/>
  <c r="E140" i="1"/>
  <c r="H140" i="1" s="1"/>
  <c r="G139" i="1"/>
  <c r="F139" i="1"/>
  <c r="E139" i="1"/>
  <c r="H139" i="1" s="1"/>
  <c r="H138" i="1"/>
  <c r="G138" i="1"/>
  <c r="F138" i="1"/>
  <c r="E138" i="1"/>
  <c r="G137" i="1"/>
  <c r="F137" i="1"/>
  <c r="E137" i="1"/>
  <c r="H137" i="1" s="1"/>
  <c r="G136" i="1"/>
  <c r="F136" i="1"/>
  <c r="E136" i="1"/>
  <c r="H136" i="1" s="1"/>
  <c r="G135" i="1"/>
  <c r="F135" i="1"/>
  <c r="E135" i="1"/>
  <c r="H135" i="1" s="1"/>
  <c r="H134" i="1"/>
  <c r="G134" i="1"/>
  <c r="F134" i="1"/>
  <c r="E134" i="1"/>
  <c r="G133" i="1"/>
  <c r="F133" i="1"/>
  <c r="E133" i="1"/>
  <c r="H133" i="1" s="1"/>
  <c r="G132" i="1"/>
  <c r="F132" i="1"/>
  <c r="E132" i="1"/>
  <c r="H132" i="1" s="1"/>
  <c r="H131" i="1"/>
  <c r="G131" i="1"/>
  <c r="F131" i="1"/>
  <c r="E131" i="1"/>
  <c r="H130" i="1"/>
  <c r="G130" i="1"/>
  <c r="F130" i="1"/>
  <c r="E130" i="1"/>
  <c r="G129" i="1"/>
  <c r="F129" i="1"/>
  <c r="E129" i="1"/>
  <c r="H129" i="1" s="1"/>
  <c r="G128" i="1"/>
  <c r="F128" i="1"/>
  <c r="E128" i="1"/>
  <c r="H128" i="1" s="1"/>
  <c r="H127" i="1"/>
  <c r="G127" i="1"/>
  <c r="F127" i="1"/>
  <c r="E127" i="1"/>
  <c r="H126" i="1"/>
  <c r="G126" i="1"/>
  <c r="F126" i="1"/>
  <c r="E126" i="1"/>
  <c r="G125" i="1"/>
  <c r="F125" i="1"/>
  <c r="E125" i="1"/>
  <c r="H125" i="1" s="1"/>
  <c r="G124" i="1"/>
  <c r="F124" i="1"/>
  <c r="E124" i="1"/>
  <c r="H124" i="1" s="1"/>
  <c r="H123" i="1"/>
  <c r="G123" i="1"/>
  <c r="F123" i="1"/>
  <c r="E123" i="1"/>
  <c r="H122" i="1"/>
  <c r="G122" i="1"/>
  <c r="F122" i="1"/>
  <c r="E122" i="1"/>
  <c r="G121" i="1"/>
  <c r="F121" i="1"/>
  <c r="E121" i="1"/>
  <c r="H121" i="1" s="1"/>
  <c r="G120" i="1"/>
  <c r="F120" i="1"/>
  <c r="E120" i="1"/>
  <c r="H120" i="1" s="1"/>
  <c r="H119" i="1"/>
  <c r="G119" i="1"/>
  <c r="F119" i="1"/>
  <c r="E119" i="1"/>
  <c r="H118" i="1"/>
  <c r="G118" i="1"/>
  <c r="F118" i="1"/>
  <c r="E118" i="1"/>
  <c r="G117" i="1"/>
  <c r="F117" i="1"/>
  <c r="E117" i="1"/>
  <c r="H117" i="1" s="1"/>
  <c r="G116" i="1"/>
  <c r="F116" i="1"/>
  <c r="E116" i="1"/>
  <c r="H116" i="1" s="1"/>
  <c r="H115" i="1"/>
  <c r="G115" i="1"/>
  <c r="F115" i="1"/>
  <c r="E115" i="1"/>
  <c r="H114" i="1"/>
  <c r="G114" i="1"/>
  <c r="F114" i="1"/>
  <c r="E114" i="1"/>
  <c r="G113" i="1"/>
  <c r="F113" i="1"/>
  <c r="E113" i="1"/>
  <c r="H113" i="1" s="1"/>
  <c r="G112" i="1"/>
  <c r="F112" i="1"/>
  <c r="E112" i="1"/>
  <c r="H112" i="1" s="1"/>
  <c r="H111" i="1"/>
  <c r="G111" i="1"/>
  <c r="F111" i="1"/>
  <c r="E111" i="1"/>
  <c r="H110" i="1"/>
  <c r="G110" i="1"/>
  <c r="F110" i="1"/>
  <c r="E110" i="1"/>
  <c r="G109" i="1"/>
  <c r="F109" i="1"/>
  <c r="E109" i="1"/>
  <c r="H109" i="1" s="1"/>
  <c r="G108" i="1"/>
  <c r="F108" i="1"/>
  <c r="E108" i="1"/>
  <c r="H108" i="1" s="1"/>
  <c r="H107" i="1"/>
  <c r="G107" i="1"/>
  <c r="F107" i="1"/>
  <c r="E107" i="1"/>
  <c r="H106" i="1"/>
  <c r="G106" i="1"/>
  <c r="F106" i="1"/>
  <c r="E106" i="1"/>
  <c r="G105" i="1"/>
  <c r="F105" i="1"/>
  <c r="E105" i="1"/>
  <c r="H105" i="1" s="1"/>
  <c r="G104" i="1"/>
  <c r="F104" i="1"/>
  <c r="E104" i="1"/>
  <c r="H104" i="1" s="1"/>
  <c r="H103" i="1"/>
  <c r="G103" i="1"/>
  <c r="F103" i="1"/>
  <c r="E103" i="1"/>
  <c r="H102" i="1"/>
  <c r="G102" i="1"/>
  <c r="F102" i="1"/>
  <c r="E102" i="1"/>
  <c r="G101" i="1"/>
  <c r="F101" i="1"/>
  <c r="E101" i="1"/>
  <c r="H101" i="1" s="1"/>
  <c r="G100" i="1"/>
  <c r="F100" i="1"/>
  <c r="E100" i="1"/>
  <c r="H100" i="1" s="1"/>
  <c r="H99" i="1"/>
  <c r="G99" i="1"/>
  <c r="F99" i="1"/>
  <c r="E99" i="1"/>
  <c r="H98" i="1"/>
  <c r="G98" i="1"/>
  <c r="F98" i="1"/>
  <c r="E98" i="1"/>
  <c r="G97" i="1"/>
  <c r="F97" i="1"/>
  <c r="E97" i="1"/>
  <c r="H97" i="1" s="1"/>
  <c r="G96" i="1"/>
  <c r="F96" i="1"/>
  <c r="E96" i="1"/>
  <c r="H96" i="1" s="1"/>
  <c r="H95" i="1"/>
  <c r="G95" i="1"/>
  <c r="F95" i="1"/>
  <c r="E95" i="1"/>
  <c r="H94" i="1"/>
  <c r="G94" i="1"/>
  <c r="F94" i="1"/>
  <c r="E94" i="1"/>
  <c r="G93" i="1"/>
  <c r="F93" i="1"/>
  <c r="E93" i="1"/>
  <c r="H93" i="1" s="1"/>
  <c r="G92" i="1"/>
  <c r="F92" i="1"/>
  <c r="E92" i="1"/>
  <c r="H92" i="1" s="1"/>
  <c r="H91" i="1"/>
  <c r="G91" i="1"/>
  <c r="F91" i="1"/>
  <c r="E91" i="1"/>
  <c r="H90" i="1"/>
  <c r="G90" i="1"/>
  <c r="F90" i="1"/>
  <c r="E90" i="1"/>
  <c r="G89" i="1"/>
  <c r="F89" i="1"/>
  <c r="E89" i="1"/>
  <c r="H89" i="1" s="1"/>
  <c r="G88" i="1"/>
  <c r="F88" i="1"/>
  <c r="E88" i="1"/>
  <c r="H88" i="1" s="1"/>
  <c r="H87" i="1"/>
  <c r="G87" i="1"/>
  <c r="F87" i="1"/>
  <c r="E87" i="1"/>
  <c r="H86" i="1"/>
  <c r="G86" i="1"/>
  <c r="F86" i="1"/>
  <c r="E86" i="1"/>
  <c r="G85" i="1"/>
  <c r="F85" i="1"/>
  <c r="E85" i="1"/>
  <c r="H85" i="1" s="1"/>
  <c r="G84" i="1"/>
  <c r="F84" i="1"/>
  <c r="E84" i="1"/>
  <c r="H84" i="1" s="1"/>
  <c r="H83" i="1"/>
  <c r="G83" i="1"/>
  <c r="F83" i="1"/>
  <c r="E83" i="1"/>
  <c r="H82" i="1"/>
  <c r="G82" i="1"/>
  <c r="F82" i="1"/>
  <c r="E82" i="1"/>
  <c r="G81" i="1"/>
  <c r="F81" i="1"/>
  <c r="E81" i="1"/>
  <c r="H81" i="1" s="1"/>
  <c r="G80" i="1"/>
  <c r="F80" i="1"/>
  <c r="E80" i="1"/>
  <c r="H80" i="1" s="1"/>
  <c r="H79" i="1"/>
  <c r="G79" i="1"/>
  <c r="F79" i="1"/>
  <c r="E79" i="1"/>
  <c r="H78" i="1"/>
  <c r="G78" i="1"/>
  <c r="F78" i="1"/>
  <c r="E78" i="1"/>
  <c r="G77" i="1"/>
  <c r="F77" i="1"/>
  <c r="E77" i="1"/>
  <c r="H77" i="1" s="1"/>
  <c r="G76" i="1"/>
  <c r="F76" i="1"/>
  <c r="E76" i="1"/>
  <c r="H76" i="1" s="1"/>
  <c r="H75" i="1"/>
  <c r="G75" i="1"/>
  <c r="F75" i="1"/>
  <c r="E75" i="1"/>
  <c r="H74" i="1"/>
  <c r="G74" i="1"/>
  <c r="F74" i="1"/>
  <c r="E74" i="1"/>
  <c r="G73" i="1"/>
  <c r="F73" i="1"/>
  <c r="E73" i="1"/>
  <c r="H73" i="1" s="1"/>
  <c r="G72" i="1"/>
  <c r="F72" i="1"/>
  <c r="E72" i="1"/>
  <c r="H72" i="1" s="1"/>
  <c r="H71" i="1"/>
  <c r="G71" i="1"/>
  <c r="F71" i="1"/>
  <c r="E71" i="1"/>
  <c r="H70" i="1"/>
  <c r="G70" i="1"/>
  <c r="F70" i="1"/>
  <c r="E70" i="1"/>
  <c r="G69" i="1"/>
  <c r="F69" i="1"/>
  <c r="E69" i="1"/>
  <c r="H69" i="1" s="1"/>
  <c r="G68" i="1"/>
  <c r="F68" i="1"/>
  <c r="E68" i="1"/>
  <c r="H68" i="1" s="1"/>
  <c r="H67" i="1"/>
  <c r="G67" i="1"/>
  <c r="F67" i="1"/>
  <c r="E67" i="1"/>
  <c r="H66" i="1"/>
  <c r="G66" i="1"/>
  <c r="F66" i="1"/>
  <c r="E66" i="1"/>
  <c r="G65" i="1"/>
  <c r="F65" i="1"/>
  <c r="E65" i="1"/>
  <c r="H65" i="1" s="1"/>
  <c r="G64" i="1"/>
  <c r="F64" i="1"/>
  <c r="E64" i="1"/>
  <c r="H64" i="1" s="1"/>
  <c r="H63" i="1"/>
  <c r="G63" i="1"/>
  <c r="F63" i="1"/>
  <c r="E63" i="1"/>
  <c r="H62" i="1"/>
  <c r="G62" i="1"/>
  <c r="F62" i="1"/>
  <c r="E62" i="1"/>
  <c r="G61" i="1"/>
  <c r="F61" i="1"/>
  <c r="E61" i="1"/>
  <c r="H61" i="1" s="1"/>
  <c r="G60" i="1"/>
  <c r="F60" i="1"/>
  <c r="E60" i="1"/>
  <c r="H60" i="1" s="1"/>
  <c r="H59" i="1"/>
  <c r="G59" i="1"/>
  <c r="F59" i="1"/>
  <c r="E59" i="1"/>
  <c r="H58" i="1"/>
  <c r="G58" i="1"/>
  <c r="F58" i="1"/>
  <c r="E58" i="1"/>
  <c r="G57" i="1"/>
  <c r="F57" i="1"/>
  <c r="E57" i="1"/>
  <c r="H57" i="1" s="1"/>
  <c r="G56" i="1"/>
  <c r="F56" i="1"/>
  <c r="E56" i="1"/>
  <c r="H56" i="1" s="1"/>
  <c r="H55" i="1"/>
  <c r="G55" i="1"/>
  <c r="F55" i="1"/>
  <c r="E55" i="1"/>
  <c r="H54" i="1"/>
  <c r="G54" i="1"/>
  <c r="F54" i="1"/>
  <c r="E54" i="1"/>
  <c r="G53" i="1"/>
  <c r="F53" i="1"/>
  <c r="E53" i="1"/>
  <c r="H53" i="1" s="1"/>
  <c r="G52" i="1"/>
  <c r="F52" i="1"/>
  <c r="E52" i="1"/>
  <c r="H52" i="1" s="1"/>
  <c r="H51" i="1"/>
  <c r="G51" i="1"/>
  <c r="F51" i="1"/>
  <c r="E51" i="1"/>
  <c r="H50" i="1"/>
  <c r="G50" i="1"/>
  <c r="F50" i="1"/>
  <c r="E50" i="1"/>
  <c r="G49" i="1"/>
  <c r="F49" i="1"/>
  <c r="E49" i="1"/>
  <c r="H49" i="1" s="1"/>
  <c r="G48" i="1"/>
  <c r="F48" i="1"/>
  <c r="E48" i="1"/>
  <c r="H48" i="1" s="1"/>
  <c r="H47" i="1"/>
  <c r="G47" i="1"/>
  <c r="F47" i="1"/>
  <c r="E47" i="1"/>
  <c r="H46" i="1"/>
  <c r="G46" i="1"/>
  <c r="F46" i="1"/>
  <c r="E46" i="1"/>
  <c r="G45" i="1"/>
  <c r="F45" i="1"/>
  <c r="E45" i="1"/>
  <c r="H45" i="1" s="1"/>
  <c r="G44" i="1"/>
  <c r="F44" i="1"/>
  <c r="E44" i="1"/>
  <c r="H44" i="1" s="1"/>
  <c r="H43" i="1"/>
  <c r="G43" i="1"/>
  <c r="F43" i="1"/>
  <c r="E43" i="1"/>
  <c r="H42" i="1"/>
  <c r="G42" i="1"/>
  <c r="F42" i="1"/>
  <c r="E42" i="1"/>
  <c r="G41" i="1"/>
  <c r="F41" i="1"/>
  <c r="E41" i="1"/>
  <c r="H41" i="1" s="1"/>
  <c r="G40" i="1"/>
  <c r="F40" i="1"/>
  <c r="E40" i="1"/>
  <c r="H40" i="1" s="1"/>
  <c r="H39" i="1"/>
  <c r="G39" i="1"/>
  <c r="F39" i="1"/>
  <c r="E39" i="1"/>
  <c r="H38" i="1"/>
  <c r="G38" i="1"/>
  <c r="F38" i="1"/>
  <c r="E38" i="1"/>
  <c r="G37" i="1"/>
  <c r="F37" i="1"/>
  <c r="E37" i="1"/>
  <c r="H37" i="1" s="1"/>
  <c r="G36" i="1"/>
  <c r="F36" i="1"/>
  <c r="E36" i="1"/>
  <c r="H36" i="1" s="1"/>
  <c r="H35" i="1"/>
  <c r="G35" i="1"/>
  <c r="F35" i="1"/>
  <c r="E35" i="1"/>
  <c r="H34" i="1"/>
  <c r="G34" i="1"/>
  <c r="F34" i="1"/>
  <c r="E34" i="1"/>
  <c r="G33" i="1"/>
  <c r="F33" i="1"/>
  <c r="E33" i="1"/>
  <c r="H33" i="1" s="1"/>
  <c r="G32" i="1"/>
  <c r="F32" i="1"/>
  <c r="E32" i="1"/>
  <c r="H32" i="1" s="1"/>
  <c r="H31" i="1"/>
  <c r="G31" i="1"/>
  <c r="F31" i="1"/>
  <c r="E31" i="1"/>
  <c r="H30" i="1"/>
  <c r="G30" i="1"/>
  <c r="F30" i="1"/>
  <c r="E30" i="1"/>
  <c r="G29" i="1"/>
  <c r="F29" i="1"/>
  <c r="E29" i="1"/>
  <c r="H29" i="1" s="1"/>
  <c r="G28" i="1"/>
  <c r="F28" i="1"/>
  <c r="E28" i="1"/>
  <c r="H28" i="1" s="1"/>
  <c r="H27" i="1"/>
  <c r="G27" i="1"/>
  <c r="F27" i="1"/>
  <c r="E27" i="1"/>
  <c r="H26" i="1"/>
  <c r="G26" i="1"/>
  <c r="F26" i="1"/>
  <c r="E26" i="1"/>
  <c r="G25" i="1"/>
  <c r="F25" i="1"/>
  <c r="E25" i="1"/>
  <c r="H25" i="1" s="1"/>
  <c r="G24" i="1"/>
  <c r="F24" i="1"/>
  <c r="E24" i="1"/>
  <c r="H24" i="1" s="1"/>
  <c r="H23" i="1"/>
  <c r="G23" i="1"/>
  <c r="F23" i="1"/>
  <c r="E23" i="1"/>
  <c r="H22" i="1"/>
  <c r="G22" i="1"/>
  <c r="F22" i="1"/>
  <c r="E22" i="1"/>
  <c r="G21" i="1"/>
  <c r="F21" i="1"/>
  <c r="E21" i="1"/>
  <c r="H21" i="1" s="1"/>
  <c r="G20" i="1"/>
  <c r="F20" i="1"/>
  <c r="E20" i="1"/>
  <c r="H20" i="1" s="1"/>
  <c r="H19" i="1"/>
  <c r="G19" i="1"/>
  <c r="F19" i="1"/>
  <c r="E19" i="1"/>
  <c r="H18" i="1"/>
  <c r="G18" i="1"/>
  <c r="F18" i="1"/>
  <c r="E18" i="1"/>
  <c r="G17" i="1"/>
  <c r="F17" i="1"/>
  <c r="E17" i="1"/>
  <c r="H17" i="1" s="1"/>
  <c r="G16" i="1"/>
  <c r="F16" i="1"/>
  <c r="E16" i="1"/>
  <c r="H16" i="1" s="1"/>
  <c r="H15" i="1"/>
  <c r="G15" i="1"/>
  <c r="F15" i="1"/>
  <c r="E15" i="1"/>
  <c r="H14" i="1"/>
  <c r="G14" i="1"/>
  <c r="F14" i="1"/>
  <c r="E14" i="1"/>
  <c r="G13" i="1"/>
  <c r="F13" i="1"/>
  <c r="E13" i="1"/>
  <c r="H13" i="1" s="1"/>
  <c r="G12" i="1"/>
  <c r="F12" i="1"/>
  <c r="E12" i="1"/>
  <c r="H12" i="1" s="1"/>
  <c r="H11" i="1"/>
  <c r="G11" i="1"/>
  <c r="F11" i="1"/>
  <c r="E11" i="1"/>
  <c r="H10" i="1"/>
  <c r="G10" i="1"/>
  <c r="F10" i="1"/>
  <c r="E10" i="1"/>
  <c r="G9" i="1"/>
  <c r="F9" i="1"/>
  <c r="E9" i="1"/>
  <c r="H9" i="1" s="1"/>
  <c r="G8" i="1"/>
  <c r="F8" i="1"/>
  <c r="E8" i="1"/>
  <c r="H8" i="1" s="1"/>
  <c r="H7" i="1"/>
  <c r="G7" i="1"/>
  <c r="F7" i="1"/>
  <c r="E7" i="1"/>
  <c r="H6" i="1"/>
  <c r="G6" i="1"/>
  <c r="F6" i="1"/>
  <c r="E6" i="1"/>
  <c r="G5" i="1"/>
  <c r="F5" i="1"/>
  <c r="E5" i="1"/>
  <c r="H5" i="1" s="1"/>
  <c r="G4" i="1"/>
  <c r="F4" i="1"/>
  <c r="E4" i="1"/>
  <c r="H4" i="1" s="1"/>
  <c r="H3" i="1"/>
  <c r="G3" i="1"/>
  <c r="F3" i="1"/>
  <c r="E3" i="1"/>
  <c r="G2" i="1"/>
  <c r="F2" i="1"/>
  <c r="E2" i="1"/>
  <c r="H2" i="1" s="1"/>
</calcChain>
</file>

<file path=xl/sharedStrings.xml><?xml version="1.0" encoding="utf-8"?>
<sst xmlns="http://schemas.openxmlformats.org/spreadsheetml/2006/main" count="1138" uniqueCount="32">
  <si>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</si>
  <si>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</si>
  <si>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</si>
  <si>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</si>
  <si>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</si>
  <si>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</si>
  <si>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</si>
  <si>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</si>
  <si>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</si>
  <si>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</si>
  <si>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</si>
  <si>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</si>
  <si>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</si>
  <si>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</si>
  <si>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</si>
  <si>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</si>
  <si>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</si>
  <si>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</si>
  <si>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</si>
  <si>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</si>
  <si>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</si>
  <si>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</si>
  <si>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</si>
  <si>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</si>
  <si>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</si>
  <si>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</si>
  <si>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</si>
  <si>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Сумма по полю Товарооборот, руб</t>
  </si>
  <si>
    <t>Среднее по полю Товарооборот на склад</t>
  </si>
  <si>
    <t>Названия строк</t>
  </si>
  <si>
    <t>Сумма по полю Товарооборот, руб2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</si>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</sst>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2" fillId="0" borderId="0" xfId="0" applyFont="1"/>
    <xf numFmtId="164" fontId="2" fillId="0" borderId="0" xfId="0" applyNumberFormat="1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/>
    <xf numFmtId="2" fontId="1" fillId="2" borderId="3" xfId="0" applyNumberFormat="1" applyFont="1" applyFill="1" applyBorder="1" applyAlignment="1">
      <alignment vertical="center" wrapText="1"/>
    </xf>
    <xf numFmtId="2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.xlsx]1.2 Диаграмма!Сводная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товарооборота по неделям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524759405074365"/>
          <c:y val="0.13623507805325988"/>
          <c:w val="0.72750481189851268"/>
          <c:h val="0.61121190429708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 Диаграмма'!$B$3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'1.2 Диаграмма'!$A$4:$A$10</c:f>
              <c:strCache>
                <c:ptCount val="6"/>
                <c:pt idx="0">
                  <c:v>18,00</c:v>
                </c:pt>
                <c:pt idx="1">
                  <c:v>19,00</c:v>
                </c:pt>
                <c:pt idx="2">
                  <c:v>20,00</c:v>
                </c:pt>
                <c:pt idx="3">
                  <c:v>21,00</c:v>
                </c:pt>
                <c:pt idx="4">
                  <c:v>22,00</c:v>
                </c:pt>
                <c:pt idx="5">
                  <c:v>23,00</c:v>
                </c:pt>
              </c:strCache>
            </c:strRef>
          </c:cat>
          <c:val>
            <c:numRef>
              <c:f>'1.2 Диаграмма'!$B$4:$B$10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3-486D-AD37-9F95DA35C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251016"/>
        <c:axId val="531701552"/>
      </c:barChart>
      <c:lineChart>
        <c:grouping val="standard"/>
        <c:varyColors val="0"/>
        <c:ser>
          <c:idx val="1"/>
          <c:order val="1"/>
          <c:tx>
            <c:strRef>
              <c:f>'1.2 Диаграмма'!$C$3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'1.2 Диаграмма'!$A$4:$A$10</c:f>
              <c:strCache>
                <c:ptCount val="6"/>
                <c:pt idx="0">
                  <c:v>18,00</c:v>
                </c:pt>
                <c:pt idx="1">
                  <c:v>19,00</c:v>
                </c:pt>
                <c:pt idx="2">
                  <c:v>20,00</c:v>
                </c:pt>
                <c:pt idx="3">
                  <c:v>21,00</c:v>
                </c:pt>
                <c:pt idx="4">
                  <c:v>22,00</c:v>
                </c:pt>
                <c:pt idx="5">
                  <c:v>23,00</c:v>
                </c:pt>
              </c:strCache>
            </c:strRef>
          </c:cat>
          <c:val>
            <c:numRef>
              <c:f>'1.2 Диаграмма'!$C$4:$C$10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43-486D-AD37-9F95DA35C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043376"/>
        <c:axId val="523041408"/>
      </c:lineChart>
      <c:catAx>
        <c:axId val="52725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1552"/>
        <c:crosses val="autoZero"/>
        <c:auto val="1"/>
        <c:lblAlgn val="ctr"/>
        <c:lblOffset val="100"/>
        <c:noMultiLvlLbl val="0"/>
      </c:catAx>
      <c:valAx>
        <c:axId val="5317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51016"/>
        <c:crosses val="autoZero"/>
        <c:crossBetween val="between"/>
      </c:valAx>
      <c:valAx>
        <c:axId val="523041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43376"/>
        <c:crosses val="max"/>
        <c:crossBetween val="between"/>
      </c:valAx>
      <c:catAx>
        <c:axId val="523043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30414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108333333333336"/>
          <c:y val="0.81429094090511411"/>
          <c:w val="0.59561111111111098"/>
          <c:h val="0.1718264968944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</xdr:colOff>
      <xdr:row>10</xdr:row>
      <xdr:rowOff>133349</xdr:rowOff>
    </xdr:from>
    <xdr:to>
      <xdr:col>2</xdr:col>
      <xdr:colOff>2395537</xdr:colOff>
      <xdr:row>28</xdr:row>
      <xdr:rowOff>161924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as" refreshedDate="46107.771326620372" createdVersion="6" refreshedVersion="6" minRefreshableVersion="3" recordCount="504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2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3" cacheId="1" dataPosition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C102" firstHeaderRow="0" firstDataRow="1" firstDataCol="1"/>
  <pivotFields count="9">
    <pivotField numFmtId="164" showAll="0"/>
    <pivotField axis="axisRow" showAll="0" defaultSubtotal="0">
      <items count="18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</items>
    </pivotField>
    <pivotField showAll="0"/>
    <pivotField dataField="1" showAll="0"/>
    <pivotField showAll="0"/>
    <pivotField showAll="0"/>
    <pivotField showAll="0"/>
    <pivotField dataField="1" showAll="0"/>
    <pivotField axis="axisRow" numFmtId="2" showAll="0" defaultSubtotal="0">
      <items count="6">
        <item x="4"/>
        <item x="3"/>
        <item x="1"/>
        <item x="2"/>
        <item x="0"/>
        <item x="5"/>
      </items>
    </pivotField>
  </pivotFields>
  <rowFields count="2">
    <field x="8"/>
    <field x="1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1" baseItem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A3:D6" firstHeaderRow="0" firstDataRow="1" firstDataCol="1" rowPageCount="1" colPageCount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Page" numFmtId="2" showAll="0" defaultSubtotal="0">
      <items count="6">
        <item x="4"/>
        <item x="3"/>
        <item x="1"/>
        <item x="2"/>
        <item x="0"/>
        <item x="5"/>
      </items>
    </pivotField>
  </pivotFields>
  <rowFields count="1">
    <field x="1"/>
  </rowFields>
  <rowItems count="3">
    <i>
      <x v="6"/>
    </i>
    <i>
      <x v="12"/>
    </i>
    <i>
      <x v="13"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5" hier="-1"/>
  </pageFields>
  <dataFields count="3">
    <dataField name="Сумма по полю Товарооборот, руб" fld="3" baseField="0" baseItem="0"/>
    <dataField name="Среднее по полю Товарооборот на склад" fld="7" subtotal="average" baseField="1" baseItem="0"/>
    <dataField name="Сумма по полю Товарооборот, руб2" fld="3" showDataAs="percentOfTota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3" iMeasureFld="2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rowGrandTotals="0" itemPrintTitles="1" createdVersion="6" indent="0" outline="1" outlineData="1" multipleFieldFilters="0">
  <location ref="A3:D6" firstHeaderRow="0" firstDataRow="1" firstDataCol="1" rowPageCount="1" colPageCount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Page" numFmtId="2" showAll="0" defaultSubtotal="0">
      <items count="6">
        <item x="4"/>
        <item x="3"/>
        <item x="1"/>
        <item x="2"/>
        <item x="0"/>
        <item x="5"/>
      </items>
    </pivotField>
  </pivotFields>
  <rowFields count="1">
    <field x="1"/>
  </rowFields>
  <rowItems count="3">
    <i>
      <x v="5"/>
    </i>
    <i>
      <x v="6"/>
    </i>
    <i>
      <x v="12"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5" hier="-1"/>
  </pageFields>
  <dataFields count="3">
    <dataField name="Сумма по полю Товарооборот, руб" fld="3" baseField="0" baseItem="0"/>
    <dataField name="Среднее по полю Товарооборот на склад" fld="7" subtotal="average" baseField="1" baseItem="0"/>
    <dataField name="Сумма по полю Товарооборот, руб2" fld="3" showDataAs="percentOfTota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numFmtId="2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C19" sqref="A1:I505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9" width="12.7109375" style="19" customWidth="1"/>
    <col min="10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0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7">
        <f>SUMIFS(Лист2!C:C, Лист2!A:A, A2, Лист2!B:B, B2)</f>
        <v>15</v>
      </c>
      <c r="F2" s="7">
        <f>SUMIFS(Лист2!D:D, Лист2!A:A, A2, Лист2!B:B, B2)</f>
        <v>441</v>
      </c>
      <c r="G2" s="7">
        <f>SUMIFS(Лист2!E:E, Лист2!A:A, A2, Лист2!B:B, B2)</f>
        <v>368</v>
      </c>
      <c r="H2" s="7">
        <f t="shared" ref="H2:H505" si="0">D2/E2</f>
        <v>41598.1</v>
      </c>
      <c r="I2" s="21">
        <f>_xlfn.ISOWEEKNUM(A2)</f>
        <v>22</v>
      </c>
    </row>
    <row r="3" spans="1:24" ht="14.25" customHeight="1" x14ac:dyDescent="0.25">
      <c r="A3" s="9">
        <v>43981</v>
      </c>
      <c r="B3" s="10" t="s">
        <v>9</v>
      </c>
      <c r="C3" s="10">
        <v>10029</v>
      </c>
      <c r="D3" s="10">
        <v>787101</v>
      </c>
      <c r="E3" s="7">
        <f>SUMIFS(Лист2!C:C, Лист2!A:A, A3, Лист2!B:B, B3)</f>
        <v>15</v>
      </c>
      <c r="F3" s="7">
        <f>SUMIFS(Лист2!D:D, Лист2!A:A, A3, Лист2!B:B, B3)</f>
        <v>490</v>
      </c>
      <c r="G3" s="7">
        <f>SUMIFS(Лист2!E:E, Лист2!A:A, A3, Лист2!B:B, B3)</f>
        <v>409</v>
      </c>
      <c r="H3" s="7">
        <f t="shared" si="0"/>
        <v>52473.4</v>
      </c>
      <c r="I3" s="21">
        <f t="shared" ref="I3:I66" si="1">_xlfn.ISOWEEKNUM(A3)</f>
        <v>22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7">
        <f>SUMIFS(Лист2!C:C, Лист2!A:A, A4, Лист2!B:B, B4)</f>
        <v>15</v>
      </c>
      <c r="F4" s="7">
        <f>SUMIFS(Лист2!D:D, Лист2!A:A, A4, Лист2!B:B, B4)</f>
        <v>464</v>
      </c>
      <c r="G4" s="7">
        <f>SUMIFS(Лист2!E:E, Лист2!A:A, A4, Лист2!B:B, B4)</f>
        <v>390</v>
      </c>
      <c r="H4" s="7">
        <f t="shared" si="0"/>
        <v>42929.599999999999</v>
      </c>
      <c r="I4" s="21">
        <f t="shared" si="1"/>
        <v>22</v>
      </c>
    </row>
    <row r="5" spans="1:24" ht="14.25" customHeight="1" x14ac:dyDescent="0.25">
      <c r="A5" s="9">
        <v>43967</v>
      </c>
      <c r="B5" s="10" t="s">
        <v>10</v>
      </c>
      <c r="C5" s="10">
        <v>38947.5</v>
      </c>
      <c r="D5" s="10">
        <v>3395892</v>
      </c>
      <c r="E5" s="7">
        <f>SUMIFS(Лист2!C:C, Лист2!A:A, A5, Лист2!B:B, B5)</f>
        <v>21</v>
      </c>
      <c r="F5" s="7">
        <f>SUMIFS(Лист2!D:D, Лист2!A:A, A5, Лист2!B:B, B5)</f>
        <v>2145</v>
      </c>
      <c r="G5" s="7">
        <f>SUMIFS(Лист2!E:E, Лист2!A:A, A5, Лист2!B:B, B5)</f>
        <v>1947</v>
      </c>
      <c r="H5" s="7">
        <f t="shared" si="0"/>
        <v>161709.14285714287</v>
      </c>
      <c r="I5" s="21">
        <f t="shared" si="1"/>
        <v>20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SUMIFS(Лист2!C:C, Лист2!A:A, A6, Лист2!B:B, B6)</f>
        <v>21</v>
      </c>
      <c r="F6" s="7">
        <f>SUMIFS(Лист2!D:D, Лист2!A:A, A6, Лист2!B:B, B6)</f>
        <v>1860</v>
      </c>
      <c r="G6" s="7">
        <f>SUMIFS(Лист2!E:E, Лист2!A:A, A6, Лист2!B:B, B6)</f>
        <v>1704</v>
      </c>
      <c r="H6" s="7">
        <f t="shared" si="0"/>
        <v>131957.92857142858</v>
      </c>
      <c r="I6" s="21">
        <f t="shared" si="1"/>
        <v>21</v>
      </c>
    </row>
    <row r="7" spans="1:24" ht="14.25" customHeight="1" x14ac:dyDescent="0.25">
      <c r="A7" s="9">
        <v>43968</v>
      </c>
      <c r="B7" s="10" t="s">
        <v>10</v>
      </c>
      <c r="C7" s="10">
        <v>32023.5</v>
      </c>
      <c r="D7" s="10">
        <v>2882458.5</v>
      </c>
      <c r="E7" s="7">
        <f>SUMIFS(Лист2!C:C, Лист2!A:A, A7, Лист2!B:B, B7)</f>
        <v>21</v>
      </c>
      <c r="F7" s="7">
        <f>SUMIFS(Лист2!D:D, Лист2!A:A, A7, Лист2!B:B, B7)</f>
        <v>1874</v>
      </c>
      <c r="G7" s="7">
        <f>SUMIFS(Лист2!E:E, Лист2!A:A, A7, Лист2!B:B, B7)</f>
        <v>1705</v>
      </c>
      <c r="H7" s="7">
        <f t="shared" si="0"/>
        <v>137259.92857142858</v>
      </c>
      <c r="I7" s="21">
        <f t="shared" si="1"/>
        <v>20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SUMIFS(Лист2!C:C, Лист2!A:A, A8, Лист2!B:B, B8)</f>
        <v>21</v>
      </c>
      <c r="F8" s="7">
        <f>SUMIFS(Лист2!D:D, Лист2!A:A, A8, Лист2!B:B, B8)</f>
        <v>1735</v>
      </c>
      <c r="G8" s="7">
        <f>SUMIFS(Лист2!E:E, Лист2!A:A, A8, Лист2!B:B, B8)</f>
        <v>1568</v>
      </c>
      <c r="H8" s="7">
        <f t="shared" si="0"/>
        <v>134810.42857142858</v>
      </c>
      <c r="I8" s="21">
        <f t="shared" si="1"/>
        <v>19</v>
      </c>
    </row>
    <row r="9" spans="1:24" ht="14.25" customHeight="1" x14ac:dyDescent="0.25">
      <c r="A9" s="9">
        <v>43955</v>
      </c>
      <c r="B9" s="10" t="s">
        <v>10</v>
      </c>
      <c r="C9" s="10">
        <v>25566</v>
      </c>
      <c r="D9" s="10">
        <v>2372310</v>
      </c>
      <c r="E9" s="7">
        <f>SUMIFS(Лист2!C:C, Лист2!A:A, A9, Лист2!B:B, B9)</f>
        <v>20</v>
      </c>
      <c r="F9" s="7">
        <f>SUMIFS(Лист2!D:D, Лист2!A:A, A9, Лист2!B:B, B9)</f>
        <v>1519</v>
      </c>
      <c r="G9" s="7">
        <f>SUMIFS(Лист2!E:E, Лист2!A:A, A9, Лист2!B:B, B9)</f>
        <v>1372</v>
      </c>
      <c r="H9" s="7">
        <f t="shared" si="0"/>
        <v>118615.5</v>
      </c>
      <c r="I9" s="21">
        <f t="shared" si="1"/>
        <v>19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SUMIFS(Лист2!C:C, Лист2!A:A, A10, Лист2!B:B, B10)</f>
        <v>18</v>
      </c>
      <c r="F10" s="7">
        <f>SUMIFS(Лист2!D:D, Лист2!A:A, A10, Лист2!B:B, B10)</f>
        <v>1684</v>
      </c>
      <c r="G10" s="7">
        <f>SUMIFS(Лист2!E:E, Лист2!A:A, A10, Лист2!B:B, B10)</f>
        <v>1528</v>
      </c>
      <c r="H10" s="7">
        <f t="shared" si="0"/>
        <v>145748.91666666666</v>
      </c>
      <c r="I10" s="21">
        <f t="shared" si="1"/>
        <v>18</v>
      </c>
    </row>
    <row r="11" spans="1:24" ht="14.25" customHeight="1" x14ac:dyDescent="0.25">
      <c r="A11" s="9">
        <v>43953</v>
      </c>
      <c r="B11" s="10" t="s">
        <v>10</v>
      </c>
      <c r="C11" s="10">
        <v>29031</v>
      </c>
      <c r="D11" s="10">
        <v>2711247</v>
      </c>
      <c r="E11" s="7">
        <f>SUMIFS(Лист2!C:C, Лист2!A:A, A11, Лист2!B:B, B11)</f>
        <v>18</v>
      </c>
      <c r="F11" s="7">
        <f>SUMIFS(Лист2!D:D, Лист2!A:A, A11, Лист2!B:B, B11)</f>
        <v>1708</v>
      </c>
      <c r="G11" s="7">
        <f>SUMIFS(Лист2!E:E, Лист2!A:A, A11, Лист2!B:B, B11)</f>
        <v>1534</v>
      </c>
      <c r="H11" s="7">
        <f t="shared" si="0"/>
        <v>150624.83333333334</v>
      </c>
      <c r="I11" s="21">
        <f t="shared" si="1"/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SUMIFS(Лист2!C:C, Лист2!A:A, A12, Лист2!B:B, B12)</f>
        <v>20</v>
      </c>
      <c r="F12" s="7">
        <f>SUMIFS(Лист2!D:D, Лист2!A:A, A12, Лист2!B:B, B12)</f>
        <v>2044</v>
      </c>
      <c r="G12" s="7">
        <f>SUMIFS(Лист2!E:E, Лист2!A:A, A12, Лист2!B:B, B12)</f>
        <v>1863</v>
      </c>
      <c r="H12" s="7">
        <f t="shared" si="0"/>
        <v>148516.5</v>
      </c>
      <c r="I12" s="21">
        <f t="shared" si="1"/>
        <v>22</v>
      </c>
    </row>
    <row r="13" spans="1:24" ht="14.25" customHeight="1" x14ac:dyDescent="0.25">
      <c r="A13" s="9">
        <v>43952</v>
      </c>
      <c r="B13" s="10" t="s">
        <v>10</v>
      </c>
      <c r="C13" s="10">
        <v>32487</v>
      </c>
      <c r="D13" s="10">
        <v>3031254</v>
      </c>
      <c r="E13" s="7">
        <f>SUMIFS(Лист2!C:C, Лист2!A:A, A13, Лист2!B:B, B13)</f>
        <v>18</v>
      </c>
      <c r="F13" s="7">
        <f>SUMIFS(Лист2!D:D, Лист2!A:A, A13, Лист2!B:B, B13)</f>
        <v>1826</v>
      </c>
      <c r="G13" s="7">
        <f>SUMIFS(Лист2!E:E, Лист2!A:A, A13, Лист2!B:B, B13)</f>
        <v>1633</v>
      </c>
      <c r="H13" s="7">
        <f t="shared" si="0"/>
        <v>168403</v>
      </c>
      <c r="I13" s="21">
        <f t="shared" si="1"/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SUMIFS(Лист2!C:C, Лист2!A:A, A14, Лист2!B:B, B14)</f>
        <v>21</v>
      </c>
      <c r="F14" s="7">
        <f>SUMIFS(Лист2!D:D, Лист2!A:A, A14, Лист2!B:B, B14)</f>
        <v>1656</v>
      </c>
      <c r="G14" s="7">
        <f>SUMIFS(Лист2!E:E, Лист2!A:A, A14, Лист2!B:B, B14)</f>
        <v>1516</v>
      </c>
      <c r="H14" s="7">
        <f t="shared" si="0"/>
        <v>123608.5</v>
      </c>
      <c r="I14" s="21">
        <f t="shared" si="1"/>
        <v>20</v>
      </c>
    </row>
    <row r="15" spans="1:24" ht="14.25" customHeight="1" x14ac:dyDescent="0.25">
      <c r="A15" s="9">
        <v>43972</v>
      </c>
      <c r="B15" s="10" t="s">
        <v>10</v>
      </c>
      <c r="C15" s="10">
        <v>31272</v>
      </c>
      <c r="D15" s="10">
        <v>2744382</v>
      </c>
      <c r="E15" s="7">
        <f>SUMIFS(Лист2!C:C, Лист2!A:A, A15, Лист2!B:B, B15)</f>
        <v>21</v>
      </c>
      <c r="F15" s="7">
        <f>SUMIFS(Лист2!D:D, Лист2!A:A, A15, Лист2!B:B, B15)</f>
        <v>1787</v>
      </c>
      <c r="G15" s="7">
        <f>SUMIFS(Лист2!E:E, Лист2!A:A, A15, Лист2!B:B, B15)</f>
        <v>1626</v>
      </c>
      <c r="H15" s="7">
        <f t="shared" si="0"/>
        <v>130684.85714285714</v>
      </c>
      <c r="I15" s="21">
        <f t="shared" si="1"/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SUMIFS(Лист2!C:C, Лист2!A:A, A16, Лист2!B:B, B16)</f>
        <v>21</v>
      </c>
      <c r="F16" s="7">
        <f>SUMIFS(Лист2!D:D, Лист2!A:A, A16, Лист2!B:B, B16)</f>
        <v>1921</v>
      </c>
      <c r="G16" s="7">
        <f>SUMIFS(Лист2!E:E, Лист2!A:A, A16, Лист2!B:B, B16)</f>
        <v>1767</v>
      </c>
      <c r="H16" s="7">
        <f t="shared" si="0"/>
        <v>139491.92857142858</v>
      </c>
      <c r="I16" s="21">
        <f t="shared" si="1"/>
        <v>21</v>
      </c>
    </row>
    <row r="17" spans="1:9" ht="14.25" customHeight="1" x14ac:dyDescent="0.25">
      <c r="A17" s="9">
        <v>43956</v>
      </c>
      <c r="B17" s="10" t="s">
        <v>10</v>
      </c>
      <c r="C17" s="10">
        <v>31566</v>
      </c>
      <c r="D17" s="10">
        <v>2906763</v>
      </c>
      <c r="E17" s="7">
        <f>SUMIFS(Лист2!C:C, Лист2!A:A, A17, Лист2!B:B, B17)</f>
        <v>20</v>
      </c>
      <c r="F17" s="7">
        <f>SUMIFS(Лист2!D:D, Лист2!A:A, A17, Лист2!B:B, B17)</f>
        <v>1773</v>
      </c>
      <c r="G17" s="7">
        <f>SUMIFS(Лист2!E:E, Лист2!A:A, A17, Лист2!B:B, B17)</f>
        <v>1604</v>
      </c>
      <c r="H17" s="7">
        <f t="shared" si="0"/>
        <v>145338.15</v>
      </c>
      <c r="I17" s="21">
        <f t="shared" si="1"/>
        <v>19</v>
      </c>
    </row>
    <row r="18" spans="1:9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SUMIFS(Лист2!C:C, Лист2!A:A, A18, Лист2!B:B, B18)</f>
        <v>18</v>
      </c>
      <c r="F18" s="7">
        <f>SUMIFS(Лист2!D:D, Лист2!A:A, A18, Лист2!B:B, B18)</f>
        <v>1539</v>
      </c>
      <c r="G18" s="7">
        <f>SUMIFS(Лист2!E:E, Лист2!A:A, A18, Лист2!B:B, B18)</f>
        <v>1404</v>
      </c>
      <c r="H18" s="7">
        <f t="shared" si="0"/>
        <v>133977.08333333334</v>
      </c>
      <c r="I18" s="21">
        <f t="shared" si="1"/>
        <v>18</v>
      </c>
    </row>
    <row r="19" spans="1:9" ht="14.25" customHeight="1" x14ac:dyDescent="0.25">
      <c r="A19" s="9">
        <v>43964</v>
      </c>
      <c r="B19" s="10" t="s">
        <v>10</v>
      </c>
      <c r="C19" s="10">
        <v>29241</v>
      </c>
      <c r="D19" s="10">
        <v>2629782</v>
      </c>
      <c r="E19" s="7">
        <f>SUMIFS(Лист2!C:C, Лист2!A:A, A19, Лист2!B:B, B19)</f>
        <v>21</v>
      </c>
      <c r="F19" s="7">
        <f>SUMIFS(Лист2!D:D, Лист2!A:A, A19, Лист2!B:B, B19)</f>
        <v>1698</v>
      </c>
      <c r="G19" s="7">
        <f>SUMIFS(Лист2!E:E, Лист2!A:A, A19, Лист2!B:B, B19)</f>
        <v>1554</v>
      </c>
      <c r="H19" s="7">
        <f t="shared" si="0"/>
        <v>125227.71428571429</v>
      </c>
      <c r="I19" s="21">
        <f t="shared" si="1"/>
        <v>20</v>
      </c>
    </row>
    <row r="20" spans="1:9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SUMIFS(Лист2!C:C, Лист2!A:A, A20, Лист2!B:B, B20)</f>
        <v>20</v>
      </c>
      <c r="F20" s="7">
        <f>SUMIFS(Лист2!D:D, Лист2!A:A, A20, Лист2!B:B, B20)</f>
        <v>1520</v>
      </c>
      <c r="G20" s="7">
        <f>SUMIFS(Лист2!E:E, Лист2!A:A, A20, Лист2!B:B, B20)</f>
        <v>1373</v>
      </c>
      <c r="H20" s="7">
        <f t="shared" si="0"/>
        <v>121745.7</v>
      </c>
      <c r="I20" s="21">
        <f t="shared" si="1"/>
        <v>18</v>
      </c>
    </row>
    <row r="21" spans="1:9" ht="14.25" customHeight="1" x14ac:dyDescent="0.25">
      <c r="A21" s="9">
        <v>43957</v>
      </c>
      <c r="B21" s="10" t="s">
        <v>10</v>
      </c>
      <c r="C21" s="10">
        <v>32511</v>
      </c>
      <c r="D21" s="10">
        <v>2938623</v>
      </c>
      <c r="E21" s="7">
        <f>SUMIFS(Лист2!C:C, Лист2!A:A, A21, Лист2!B:B, B21)</f>
        <v>20</v>
      </c>
      <c r="F21" s="7">
        <f>SUMIFS(Лист2!D:D, Лист2!A:A, A21, Лист2!B:B, B21)</f>
        <v>1784</v>
      </c>
      <c r="G21" s="7">
        <f>SUMIFS(Лист2!E:E, Лист2!A:A, A21, Лист2!B:B, B21)</f>
        <v>1632</v>
      </c>
      <c r="H21" s="7">
        <f t="shared" si="0"/>
        <v>146931.15</v>
      </c>
      <c r="I21" s="21">
        <f t="shared" si="1"/>
        <v>19</v>
      </c>
    </row>
    <row r="22" spans="1:9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SUMIFS(Лист2!C:C, Лист2!A:A, A22, Лист2!B:B, B22)</f>
        <v>21</v>
      </c>
      <c r="F22" s="7">
        <f>SUMIFS(Лист2!D:D, Лист2!A:A, A22, Лист2!B:B, B22)</f>
        <v>2340</v>
      </c>
      <c r="G22" s="7">
        <f>SUMIFS(Лист2!E:E, Лист2!A:A, A22, Лист2!B:B, B22)</f>
        <v>2146</v>
      </c>
      <c r="H22" s="7">
        <f t="shared" si="0"/>
        <v>172796.5</v>
      </c>
      <c r="I22" s="21">
        <f t="shared" si="1"/>
        <v>21</v>
      </c>
    </row>
    <row r="23" spans="1:9" ht="14.25" customHeight="1" x14ac:dyDescent="0.25">
      <c r="A23" s="9">
        <v>43976</v>
      </c>
      <c r="B23" s="10" t="s">
        <v>10</v>
      </c>
      <c r="C23" s="10">
        <v>35592</v>
      </c>
      <c r="D23" s="10">
        <v>3176580</v>
      </c>
      <c r="E23" s="7">
        <f>SUMIFS(Лист2!C:C, Лист2!A:A, A23, Лист2!B:B, B23)</f>
        <v>20</v>
      </c>
      <c r="F23" s="7">
        <f>SUMIFS(Лист2!D:D, Лист2!A:A, A23, Лист2!B:B, B23)</f>
        <v>2087</v>
      </c>
      <c r="G23" s="7">
        <f>SUMIFS(Лист2!E:E, Лист2!A:A, A23, Лист2!B:B, B23)</f>
        <v>1914</v>
      </c>
      <c r="H23" s="7">
        <f t="shared" si="0"/>
        <v>158829</v>
      </c>
      <c r="I23" s="21">
        <f t="shared" si="1"/>
        <v>22</v>
      </c>
    </row>
    <row r="24" spans="1:9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SUMIFS(Лист2!C:C, Лист2!A:A, A24, Лист2!B:B, B24)</f>
        <v>19</v>
      </c>
      <c r="F24" s="7">
        <f>SUMIFS(Лист2!D:D, Лист2!A:A, A24, Лист2!B:B, B24)</f>
        <v>1712</v>
      </c>
      <c r="G24" s="7">
        <f>SUMIFS(Лист2!E:E, Лист2!A:A, A24, Лист2!B:B, B24)</f>
        <v>1552</v>
      </c>
      <c r="H24" s="7">
        <f t="shared" si="0"/>
        <v>148273.5</v>
      </c>
      <c r="I24" s="21">
        <f t="shared" si="1"/>
        <v>18</v>
      </c>
    </row>
    <row r="25" spans="1:9" ht="14.25" customHeight="1" x14ac:dyDescent="0.25">
      <c r="A25" s="9">
        <v>43961</v>
      </c>
      <c r="B25" s="10" t="s">
        <v>10</v>
      </c>
      <c r="C25" s="10">
        <v>36619.5</v>
      </c>
      <c r="D25" s="10">
        <v>3312967.5</v>
      </c>
      <c r="E25" s="7">
        <f>SUMIFS(Лист2!C:C, Лист2!A:A, A25, Лист2!B:B, B25)</f>
        <v>21</v>
      </c>
      <c r="F25" s="7">
        <f>SUMIFS(Лист2!D:D, Лист2!A:A, A25, Лист2!B:B, B25)</f>
        <v>2016</v>
      </c>
      <c r="G25" s="7">
        <f>SUMIFS(Лист2!E:E, Лист2!A:A, A25, Лист2!B:B, B25)</f>
        <v>1846</v>
      </c>
      <c r="H25" s="7">
        <f t="shared" si="0"/>
        <v>157760.35714285713</v>
      </c>
      <c r="I25" s="21">
        <f t="shared" si="1"/>
        <v>19</v>
      </c>
    </row>
    <row r="26" spans="1:9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SUMIFS(Лист2!C:C, Лист2!A:A, A26, Лист2!B:B, B26)</f>
        <v>21</v>
      </c>
      <c r="F26" s="7">
        <f>SUMIFS(Лист2!D:D, Лист2!A:A, A26, Лист2!B:B, B26)</f>
        <v>1646</v>
      </c>
      <c r="G26" s="7">
        <f>SUMIFS(Лист2!E:E, Лист2!A:A, A26, Лист2!B:B, B26)</f>
        <v>1492</v>
      </c>
      <c r="H26" s="7">
        <f t="shared" si="0"/>
        <v>125960</v>
      </c>
      <c r="I26" s="21">
        <f t="shared" si="1"/>
        <v>19</v>
      </c>
    </row>
    <row r="27" spans="1:9" ht="14.25" customHeight="1" x14ac:dyDescent="0.25">
      <c r="A27" s="9">
        <v>43958</v>
      </c>
      <c r="B27" s="10" t="s">
        <v>10</v>
      </c>
      <c r="C27" s="10">
        <v>27018</v>
      </c>
      <c r="D27" s="10">
        <v>2472213</v>
      </c>
      <c r="E27" s="7">
        <f>SUMIFS(Лист2!C:C, Лист2!A:A, A27, Лист2!B:B, B27)</f>
        <v>21</v>
      </c>
      <c r="F27" s="7">
        <f>SUMIFS(Лист2!D:D, Лист2!A:A, A27, Лист2!B:B, B27)</f>
        <v>1542</v>
      </c>
      <c r="G27" s="7">
        <f>SUMIFS(Лист2!E:E, Лист2!A:A, A27, Лист2!B:B, B27)</f>
        <v>1405</v>
      </c>
      <c r="H27" s="7">
        <f t="shared" si="0"/>
        <v>117724.42857142857</v>
      </c>
      <c r="I27" s="21">
        <f t="shared" si="1"/>
        <v>19</v>
      </c>
    </row>
    <row r="28" spans="1:9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SUMIFS(Лист2!C:C, Лист2!A:A, A28, Лист2!B:B, B28)</f>
        <v>20</v>
      </c>
      <c r="F28" s="7">
        <f>SUMIFS(Лист2!D:D, Лист2!A:A, A28, Лист2!B:B, B28)</f>
        <v>1999</v>
      </c>
      <c r="G28" s="7">
        <f>SUMIFS(Лист2!E:E, Лист2!A:A, A28, Лист2!B:B, B28)</f>
        <v>1829</v>
      </c>
      <c r="H28" s="7">
        <f t="shared" si="0"/>
        <v>146237.32500000001</v>
      </c>
      <c r="I28" s="21">
        <f t="shared" si="1"/>
        <v>21</v>
      </c>
    </row>
    <row r="29" spans="1:9" ht="14.25" customHeight="1" x14ac:dyDescent="0.25">
      <c r="A29" s="9">
        <v>43982</v>
      </c>
      <c r="B29" s="10" t="s">
        <v>10</v>
      </c>
      <c r="C29" s="10">
        <v>36999</v>
      </c>
      <c r="D29" s="10">
        <v>3473895</v>
      </c>
      <c r="E29" s="7">
        <f>SUMIFS(Лист2!C:C, Лист2!A:A, A29, Лист2!B:B, B29)</f>
        <v>21</v>
      </c>
      <c r="F29" s="7">
        <f>SUMIFS(Лист2!D:D, Лист2!A:A, A29, Лист2!B:B, B29)</f>
        <v>2271</v>
      </c>
      <c r="G29" s="7">
        <f>SUMIFS(Лист2!E:E, Лист2!A:A, A29, Лист2!B:B, B29)</f>
        <v>2085</v>
      </c>
      <c r="H29" s="7">
        <f t="shared" si="0"/>
        <v>165423.57142857142</v>
      </c>
      <c r="I29" s="21">
        <f t="shared" si="1"/>
        <v>22</v>
      </c>
    </row>
    <row r="30" spans="1:9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SUMIFS(Лист2!C:C, Лист2!A:A, A30, Лист2!B:B, B30)</f>
        <v>20</v>
      </c>
      <c r="F30" s="7">
        <f>SUMIFS(Лист2!D:D, Лист2!A:A, A30, Лист2!B:B, B30)</f>
        <v>2597</v>
      </c>
      <c r="G30" s="7">
        <f>SUMIFS(Лист2!E:E, Лист2!A:A, A30, Лист2!B:B, B30)</f>
        <v>2376</v>
      </c>
      <c r="H30" s="7">
        <f t="shared" si="0"/>
        <v>196089.22500000001</v>
      </c>
      <c r="I30" s="21">
        <f t="shared" si="1"/>
        <v>22</v>
      </c>
    </row>
    <row r="31" spans="1:9" ht="14.25" customHeight="1" x14ac:dyDescent="0.25">
      <c r="A31" s="9">
        <v>43979</v>
      </c>
      <c r="B31" s="10" t="s">
        <v>10</v>
      </c>
      <c r="C31" s="10">
        <v>30982.5</v>
      </c>
      <c r="D31" s="10">
        <v>2827773</v>
      </c>
      <c r="E31" s="7">
        <f>SUMIFS(Лист2!C:C, Лист2!A:A, A31, Лист2!B:B, B31)</f>
        <v>20</v>
      </c>
      <c r="F31" s="7">
        <f>SUMIFS(Лист2!D:D, Лист2!A:A, A31, Лист2!B:B, B31)</f>
        <v>1886</v>
      </c>
      <c r="G31" s="7">
        <f>SUMIFS(Лист2!E:E, Лист2!A:A, A31, Лист2!B:B, B31)</f>
        <v>1736</v>
      </c>
      <c r="H31" s="7">
        <f t="shared" si="0"/>
        <v>141388.65</v>
      </c>
      <c r="I31" s="21">
        <f t="shared" si="1"/>
        <v>22</v>
      </c>
    </row>
    <row r="32" spans="1:9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SUMIFS(Лист2!C:C, Лист2!A:A, A32, Лист2!B:B, B32)</f>
        <v>31</v>
      </c>
      <c r="F32" s="7">
        <f>SUMIFS(Лист2!D:D, Лист2!A:A, A32, Лист2!B:B, B32)</f>
        <v>5593</v>
      </c>
      <c r="G32" s="7">
        <f>SUMIFS(Лист2!E:E, Лист2!A:A, A32, Лист2!B:B, B32)</f>
        <v>5177</v>
      </c>
      <c r="H32" s="7">
        <f t="shared" si="0"/>
        <v>244637.37096774194</v>
      </c>
      <c r="I32" s="21">
        <f t="shared" si="1"/>
        <v>20</v>
      </c>
    </row>
    <row r="33" spans="1:9" ht="14.25" customHeight="1" x14ac:dyDescent="0.25">
      <c r="A33" s="9">
        <v>43970</v>
      </c>
      <c r="B33" s="10" t="s">
        <v>11</v>
      </c>
      <c r="C33" s="10">
        <v>84024</v>
      </c>
      <c r="D33" s="10">
        <v>6815511</v>
      </c>
      <c r="E33" s="7">
        <f>SUMIFS(Лист2!C:C, Лист2!A:A, A33, Лист2!B:B, B33)</f>
        <v>31</v>
      </c>
      <c r="F33" s="7">
        <f>SUMIFS(Лист2!D:D, Лист2!A:A, A33, Лист2!B:B, B33)</f>
        <v>5389</v>
      </c>
      <c r="G33" s="7">
        <f>SUMIFS(Лист2!E:E, Лист2!A:A, A33, Лист2!B:B, B33)</f>
        <v>5024</v>
      </c>
      <c r="H33" s="7">
        <f t="shared" si="0"/>
        <v>219855.19354838709</v>
      </c>
      <c r="I33" s="21">
        <f t="shared" si="1"/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SUMIFS(Лист2!C:C, Лист2!A:A, A34, Лист2!B:B, B34)</f>
        <v>31</v>
      </c>
      <c r="F34" s="7">
        <f>SUMIFS(Лист2!D:D, Лист2!A:A, A34, Лист2!B:B, B34)</f>
        <v>5206</v>
      </c>
      <c r="G34" s="7">
        <f>SUMIFS(Лист2!E:E, Лист2!A:A, A34, Лист2!B:B, B34)</f>
        <v>4843</v>
      </c>
      <c r="H34" s="7">
        <f t="shared" si="0"/>
        <v>218546.66129032258</v>
      </c>
      <c r="I34" s="21">
        <f t="shared" si="1"/>
        <v>20</v>
      </c>
    </row>
    <row r="35" spans="1:9" ht="14.25" customHeight="1" x14ac:dyDescent="0.25">
      <c r="A35" s="9">
        <v>43960</v>
      </c>
      <c r="B35" s="10" t="s">
        <v>11</v>
      </c>
      <c r="C35" s="10">
        <v>69720</v>
      </c>
      <c r="D35" s="10">
        <v>6264933</v>
      </c>
      <c r="E35" s="7">
        <f>SUMIFS(Лист2!C:C, Лист2!A:A, A35, Лист2!B:B, B35)</f>
        <v>31</v>
      </c>
      <c r="F35" s="7">
        <f>SUMIFS(Лист2!D:D, Лист2!A:A, A35, Лист2!B:B, B35)</f>
        <v>4556</v>
      </c>
      <c r="G35" s="7">
        <f>SUMIFS(Лист2!E:E, Лист2!A:A, A35, Лист2!B:B, B35)</f>
        <v>4220</v>
      </c>
      <c r="H35" s="7">
        <f t="shared" si="0"/>
        <v>202094.61290322582</v>
      </c>
      <c r="I35" s="21">
        <f t="shared" si="1"/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SUMIFS(Лист2!C:C, Лист2!A:A, A36, Лист2!B:B, B36)</f>
        <v>31</v>
      </c>
      <c r="F36" s="7">
        <f>SUMIFS(Лист2!D:D, Лист2!A:A, A36, Лист2!B:B, B36)</f>
        <v>4968</v>
      </c>
      <c r="G36" s="7">
        <f>SUMIFS(Лист2!E:E, Лист2!A:A, A36, Лист2!B:B, B36)</f>
        <v>4596</v>
      </c>
      <c r="H36" s="7">
        <f t="shared" si="0"/>
        <v>214266.09677419355</v>
      </c>
      <c r="I36" s="21">
        <f t="shared" si="1"/>
        <v>19</v>
      </c>
    </row>
    <row r="37" spans="1:9" ht="14.25" customHeight="1" x14ac:dyDescent="0.25">
      <c r="A37" s="9">
        <v>43950</v>
      </c>
      <c r="B37" s="10" t="s">
        <v>11</v>
      </c>
      <c r="C37" s="10">
        <v>79527</v>
      </c>
      <c r="D37" s="10">
        <v>7180498.5</v>
      </c>
      <c r="E37" s="7">
        <f>SUMIFS(Лист2!C:C, Лист2!A:A, A37, Лист2!B:B, B37)</f>
        <v>31</v>
      </c>
      <c r="F37" s="7">
        <f>SUMIFS(Лист2!D:D, Лист2!A:A, A37, Лист2!B:B, B37)</f>
        <v>5378</v>
      </c>
      <c r="G37" s="7">
        <f>SUMIFS(Лист2!E:E, Лист2!A:A, A37, Лист2!B:B, B37)</f>
        <v>4985</v>
      </c>
      <c r="H37" s="7">
        <f t="shared" si="0"/>
        <v>231628.98387096773</v>
      </c>
      <c r="I37" s="21">
        <f t="shared" si="1"/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SUMIFS(Лист2!C:C, Лист2!A:A, A38, Лист2!B:B, B38)</f>
        <v>31</v>
      </c>
      <c r="F38" s="7">
        <f>SUMIFS(Лист2!D:D, Лист2!A:A, A38, Лист2!B:B, B38)</f>
        <v>4157</v>
      </c>
      <c r="G38" s="7">
        <f>SUMIFS(Лист2!E:E, Лист2!A:A, A38, Лист2!B:B, B38)</f>
        <v>3823</v>
      </c>
      <c r="H38" s="7">
        <f t="shared" si="0"/>
        <v>179167.5</v>
      </c>
      <c r="I38" s="21">
        <f t="shared" si="1"/>
        <v>18</v>
      </c>
    </row>
    <row r="39" spans="1:9" ht="14.25" customHeight="1" x14ac:dyDescent="0.25">
      <c r="A39" s="9">
        <v>43977</v>
      </c>
      <c r="B39" s="10" t="s">
        <v>11</v>
      </c>
      <c r="C39" s="10">
        <v>79975.5</v>
      </c>
      <c r="D39" s="10">
        <v>6676459.5</v>
      </c>
      <c r="E39" s="7">
        <f>SUMIFS(Лист2!C:C, Лист2!A:A, A39, Лист2!B:B, B39)</f>
        <v>31</v>
      </c>
      <c r="F39" s="7">
        <f>SUMIFS(Лист2!D:D, Лист2!A:A, A39, Лист2!B:B, B39)</f>
        <v>5493</v>
      </c>
      <c r="G39" s="7">
        <f>SUMIFS(Лист2!E:E, Лист2!A:A, A39, Лист2!B:B, B39)</f>
        <v>5119</v>
      </c>
      <c r="H39" s="7">
        <f t="shared" si="0"/>
        <v>215369.66129032258</v>
      </c>
      <c r="I39" s="21">
        <f t="shared" si="1"/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SUMIFS(Лист2!C:C, Лист2!A:A, A40, Лист2!B:B, B40)</f>
        <v>31</v>
      </c>
      <c r="F40" s="7">
        <f>SUMIFS(Лист2!D:D, Лист2!A:A, A40, Лист2!B:B, B40)</f>
        <v>6118</v>
      </c>
      <c r="G40" s="7">
        <f>SUMIFS(Лист2!E:E, Лист2!A:A, A40, Лист2!B:B, B40)</f>
        <v>5564</v>
      </c>
      <c r="H40" s="7">
        <f t="shared" si="0"/>
        <v>286871.75806451612</v>
      </c>
      <c r="I40" s="21">
        <f t="shared" si="1"/>
        <v>18</v>
      </c>
    </row>
    <row r="41" spans="1:9" ht="14.25" customHeight="1" x14ac:dyDescent="0.25">
      <c r="A41" s="9">
        <v>43963</v>
      </c>
      <c r="B41" s="10" t="s">
        <v>11</v>
      </c>
      <c r="C41" s="10">
        <v>71520</v>
      </c>
      <c r="D41" s="10">
        <v>6398361</v>
      </c>
      <c r="E41" s="7">
        <f>SUMIFS(Лист2!C:C, Лист2!A:A, A41, Лист2!B:B, B41)</f>
        <v>31</v>
      </c>
      <c r="F41" s="7">
        <f>SUMIFS(Лист2!D:D, Лист2!A:A, A41, Лист2!B:B, B41)</f>
        <v>4800</v>
      </c>
      <c r="G41" s="7">
        <f>SUMIFS(Лист2!E:E, Лист2!A:A, A41, Лист2!B:B, B41)</f>
        <v>4470</v>
      </c>
      <c r="H41" s="7">
        <f t="shared" si="0"/>
        <v>206398.74193548388</v>
      </c>
      <c r="I41" s="21">
        <f t="shared" si="1"/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SUMIFS(Лист2!C:C, Лист2!A:A, A42, Лист2!B:B, B42)</f>
        <v>31</v>
      </c>
      <c r="F42" s="7">
        <f>SUMIFS(Лист2!D:D, Лист2!A:A, A42, Лист2!B:B, B42)</f>
        <v>5207</v>
      </c>
      <c r="G42" s="7">
        <f>SUMIFS(Лист2!E:E, Лист2!A:A, A42, Лист2!B:B, B42)</f>
        <v>4868</v>
      </c>
      <c r="H42" s="7">
        <f t="shared" si="0"/>
        <v>213995.0806451613</v>
      </c>
      <c r="I42" s="21">
        <f t="shared" si="1"/>
        <v>21</v>
      </c>
    </row>
    <row r="43" spans="1:9" ht="14.25" customHeight="1" x14ac:dyDescent="0.25">
      <c r="A43" s="9">
        <v>43971</v>
      </c>
      <c r="B43" s="10" t="s">
        <v>11</v>
      </c>
      <c r="C43" s="10">
        <v>93313.5</v>
      </c>
      <c r="D43" s="10">
        <v>7247575.5</v>
      </c>
      <c r="E43" s="7">
        <f>SUMIFS(Лист2!C:C, Лист2!A:A, A43, Лист2!B:B, B43)</f>
        <v>31</v>
      </c>
      <c r="F43" s="7">
        <f>SUMIFS(Лист2!D:D, Лист2!A:A, A43, Лист2!B:B, B43)</f>
        <v>5698</v>
      </c>
      <c r="G43" s="7">
        <f>SUMIFS(Лист2!E:E, Лист2!A:A, A43, Лист2!B:B, B43)</f>
        <v>5258</v>
      </c>
      <c r="H43" s="7">
        <f t="shared" si="0"/>
        <v>233792.75806451612</v>
      </c>
      <c r="I43" s="21">
        <f t="shared" si="1"/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SUMIFS(Лист2!C:C, Лист2!A:A, A44, Лист2!B:B, B44)</f>
        <v>31</v>
      </c>
      <c r="F44" s="7">
        <f>SUMIFS(Лист2!D:D, Лист2!A:A, A44, Лист2!B:B, B44)</f>
        <v>5188</v>
      </c>
      <c r="G44" s="7">
        <f>SUMIFS(Лист2!E:E, Лист2!A:A, A44, Лист2!B:B, B44)</f>
        <v>4800</v>
      </c>
      <c r="H44" s="7">
        <f t="shared" si="0"/>
        <v>223268.27419354839</v>
      </c>
      <c r="I44" s="21">
        <f t="shared" si="1"/>
        <v>19</v>
      </c>
    </row>
    <row r="45" spans="1:9" ht="14.25" customHeight="1" x14ac:dyDescent="0.25">
      <c r="A45" s="9">
        <v>43949</v>
      </c>
      <c r="B45" s="10" t="s">
        <v>11</v>
      </c>
      <c r="C45" s="10">
        <v>81826.5</v>
      </c>
      <c r="D45" s="10">
        <v>7163644.5</v>
      </c>
      <c r="E45" s="7">
        <f>SUMIFS(Лист2!C:C, Лист2!A:A, A45, Лист2!B:B, B45)</f>
        <v>31</v>
      </c>
      <c r="F45" s="7">
        <f>SUMIFS(Лист2!D:D, Лист2!A:A, A45, Лист2!B:B, B45)</f>
        <v>5465</v>
      </c>
      <c r="G45" s="7">
        <f>SUMIFS(Лист2!E:E, Лист2!A:A, A45, Лист2!B:B, B45)</f>
        <v>5096</v>
      </c>
      <c r="H45" s="7">
        <f t="shared" si="0"/>
        <v>231085.30645161291</v>
      </c>
      <c r="I45" s="21">
        <f t="shared" si="1"/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SUMIFS(Лист2!C:C, Лист2!A:A, A46, Лист2!B:B, B46)</f>
        <v>31</v>
      </c>
      <c r="F46" s="7">
        <f>SUMIFS(Лист2!D:D, Лист2!A:A, A46, Лист2!B:B, B46)</f>
        <v>5251</v>
      </c>
      <c r="G46" s="7">
        <f>SUMIFS(Лист2!E:E, Лист2!A:A, A46, Лист2!B:B, B46)</f>
        <v>4853</v>
      </c>
      <c r="H46" s="7">
        <f t="shared" si="0"/>
        <v>225611.37096774194</v>
      </c>
      <c r="I46" s="21">
        <f t="shared" si="1"/>
        <v>20</v>
      </c>
    </row>
    <row r="47" spans="1:9" ht="14.25" customHeight="1" x14ac:dyDescent="0.25">
      <c r="A47" s="9">
        <v>43954</v>
      </c>
      <c r="B47" s="10" t="s">
        <v>11</v>
      </c>
      <c r="C47" s="10">
        <v>77263.5</v>
      </c>
      <c r="D47" s="10">
        <v>7013670</v>
      </c>
      <c r="E47" s="7">
        <f>SUMIFS(Лист2!C:C, Лист2!A:A, A47, Лист2!B:B, B47)</f>
        <v>31</v>
      </c>
      <c r="F47" s="7">
        <f>SUMIFS(Лист2!D:D, Лист2!A:A, A47, Лист2!B:B, B47)</f>
        <v>5155</v>
      </c>
      <c r="G47" s="7">
        <f>SUMIFS(Лист2!E:E, Лист2!A:A, A47, Лист2!B:B, B47)</f>
        <v>4762</v>
      </c>
      <c r="H47" s="7">
        <f t="shared" si="0"/>
        <v>226247.4193548387</v>
      </c>
      <c r="I47" s="21">
        <f t="shared" si="1"/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SUMIFS(Лист2!C:C, Лист2!A:A, A48, Лист2!B:B, B48)</f>
        <v>31</v>
      </c>
      <c r="F48" s="7">
        <f>SUMIFS(Лист2!D:D, Лист2!A:A, A48, Лист2!B:B, B48)</f>
        <v>4709</v>
      </c>
      <c r="G48" s="7">
        <f>SUMIFS(Лист2!E:E, Лист2!A:A, A48, Лист2!B:B, B48)</f>
        <v>4348</v>
      </c>
      <c r="H48" s="7">
        <f t="shared" si="0"/>
        <v>198988.93548387097</v>
      </c>
      <c r="I48" s="21">
        <f t="shared" si="1"/>
        <v>19</v>
      </c>
    </row>
    <row r="49" spans="1:9" ht="14.25" customHeight="1" x14ac:dyDescent="0.25">
      <c r="A49" s="9">
        <v>43974</v>
      </c>
      <c r="B49" s="10" t="s">
        <v>11</v>
      </c>
      <c r="C49" s="10">
        <v>102889.5</v>
      </c>
      <c r="D49" s="10">
        <v>8089143</v>
      </c>
      <c r="E49" s="7">
        <f>SUMIFS(Лист2!C:C, Лист2!A:A, A49, Лист2!B:B, B49)</f>
        <v>31</v>
      </c>
      <c r="F49" s="7">
        <f>SUMIFS(Лист2!D:D, Лист2!A:A, A49, Лист2!B:B, B49)</f>
        <v>6276</v>
      </c>
      <c r="G49" s="7">
        <f>SUMIFS(Лист2!E:E, Лист2!A:A, A49, Лист2!B:B, B49)</f>
        <v>5801</v>
      </c>
      <c r="H49" s="7">
        <f t="shared" si="0"/>
        <v>260940.09677419355</v>
      </c>
      <c r="I49" s="21">
        <f t="shared" si="1"/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SUMIFS(Лист2!C:C, Лист2!A:A, A50, Лист2!B:B, B50)</f>
        <v>31</v>
      </c>
      <c r="F50" s="7">
        <f>SUMIFS(Лист2!D:D, Лист2!A:A, A50, Лист2!B:B, B50)</f>
        <v>5210</v>
      </c>
      <c r="G50" s="7">
        <f>SUMIFS(Лист2!E:E, Лист2!A:A, A50, Лист2!B:B, B50)</f>
        <v>4841</v>
      </c>
      <c r="H50" s="7">
        <f t="shared" si="0"/>
        <v>214374.29032258064</v>
      </c>
      <c r="I50" s="21">
        <f t="shared" si="1"/>
        <v>22</v>
      </c>
    </row>
    <row r="51" spans="1:9" ht="14.25" customHeight="1" x14ac:dyDescent="0.25">
      <c r="A51" s="9">
        <v>43951</v>
      </c>
      <c r="B51" s="10" t="s">
        <v>11</v>
      </c>
      <c r="C51" s="10">
        <v>77565</v>
      </c>
      <c r="D51" s="10">
        <v>7023727.5</v>
      </c>
      <c r="E51" s="7">
        <f>SUMIFS(Лист2!C:C, Лист2!A:A, A51, Лист2!B:B, B51)</f>
        <v>31</v>
      </c>
      <c r="F51" s="7">
        <f>SUMIFS(Лист2!D:D, Лист2!A:A, A51, Лист2!B:B, B51)</f>
        <v>5120</v>
      </c>
      <c r="G51" s="7">
        <f>SUMIFS(Лист2!E:E, Лист2!A:A, A51, Лист2!B:B, B51)</f>
        <v>4737</v>
      </c>
      <c r="H51" s="7">
        <f t="shared" si="0"/>
        <v>226571.85483870967</v>
      </c>
      <c r="I51" s="21">
        <f t="shared" si="1"/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SUMIFS(Лист2!C:C, Лист2!A:A, A52, Лист2!B:B, B52)</f>
        <v>31</v>
      </c>
      <c r="F52" s="7">
        <f>SUMIFS(Лист2!D:D, Лист2!A:A, A52, Лист2!B:B, B52)</f>
        <v>5495</v>
      </c>
      <c r="G52" s="7">
        <f>SUMIFS(Лист2!E:E, Лист2!A:A, A52, Лист2!B:B, B52)</f>
        <v>5093</v>
      </c>
      <c r="H52" s="7">
        <f t="shared" si="0"/>
        <v>241393.35483870967</v>
      </c>
      <c r="I52" s="21">
        <f t="shared" si="1"/>
        <v>19</v>
      </c>
    </row>
    <row r="53" spans="1:9" ht="14.25" customHeight="1" x14ac:dyDescent="0.25">
      <c r="A53" s="9">
        <v>43959</v>
      </c>
      <c r="B53" s="10" t="s">
        <v>11</v>
      </c>
      <c r="C53" s="10">
        <v>69544.5</v>
      </c>
      <c r="D53" s="10">
        <v>6293776.5</v>
      </c>
      <c r="E53" s="7">
        <f>SUMIFS(Лист2!C:C, Лист2!A:A, A53, Лист2!B:B, B53)</f>
        <v>31</v>
      </c>
      <c r="F53" s="7">
        <f>SUMIFS(Лист2!D:D, Лист2!A:A, A53, Лист2!B:B, B53)</f>
        <v>4635</v>
      </c>
      <c r="G53" s="7">
        <f>SUMIFS(Лист2!E:E, Лист2!A:A, A53, Лист2!B:B, B53)</f>
        <v>4266</v>
      </c>
      <c r="H53" s="7">
        <f t="shared" si="0"/>
        <v>203025.04838709679</v>
      </c>
      <c r="I53" s="21">
        <f t="shared" si="1"/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SUMIFS(Лист2!C:C, Лист2!A:A, A54, Лист2!B:B, B54)</f>
        <v>31</v>
      </c>
      <c r="F54" s="7">
        <f>SUMIFS(Лист2!D:D, Лист2!A:A, A54, Лист2!B:B, B54)</f>
        <v>4903</v>
      </c>
      <c r="G54" s="7">
        <f>SUMIFS(Лист2!E:E, Лист2!A:A, A54, Лист2!B:B, B54)</f>
        <v>4527</v>
      </c>
      <c r="H54" s="7">
        <f t="shared" si="0"/>
        <v>212641.40322580645</v>
      </c>
      <c r="I54" s="21">
        <f t="shared" si="1"/>
        <v>19</v>
      </c>
    </row>
    <row r="55" spans="1:9" ht="14.25" customHeight="1" x14ac:dyDescent="0.25">
      <c r="A55" s="9">
        <v>43975</v>
      </c>
      <c r="B55" s="10" t="s">
        <v>11</v>
      </c>
      <c r="C55" s="10">
        <v>76663.5</v>
      </c>
      <c r="D55" s="10">
        <v>6451032</v>
      </c>
      <c r="E55" s="7">
        <f>SUMIFS(Лист2!C:C, Лист2!A:A, A55, Лист2!B:B, B55)</f>
        <v>31</v>
      </c>
      <c r="F55" s="7">
        <f>SUMIFS(Лист2!D:D, Лист2!A:A, A55, Лист2!B:B, B55)</f>
        <v>5035</v>
      </c>
      <c r="G55" s="7">
        <f>SUMIFS(Лист2!E:E, Лист2!A:A, A55, Лист2!B:B, B55)</f>
        <v>4683</v>
      </c>
      <c r="H55" s="7">
        <f t="shared" si="0"/>
        <v>208097.80645161291</v>
      </c>
      <c r="I55" s="21">
        <f t="shared" si="1"/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SUMIFS(Лист2!C:C, Лист2!A:A, A56, Лист2!B:B, B56)</f>
        <v>10</v>
      </c>
      <c r="F56" s="7">
        <f>SUMIFS(Лист2!D:D, Лист2!A:A, A56, Лист2!B:B, B56)</f>
        <v>760</v>
      </c>
      <c r="G56" s="7">
        <f>SUMIFS(Лист2!E:E, Лист2!A:A, A56, Лист2!B:B, B56)</f>
        <v>672</v>
      </c>
      <c r="H56" s="7">
        <f t="shared" si="0"/>
        <v>113050.65</v>
      </c>
      <c r="I56" s="21">
        <f t="shared" si="1"/>
        <v>20</v>
      </c>
    </row>
    <row r="57" spans="1:9" ht="14.25" customHeight="1" x14ac:dyDescent="0.25">
      <c r="A57" s="9">
        <v>43970</v>
      </c>
      <c r="B57" s="10" t="s">
        <v>12</v>
      </c>
      <c r="C57" s="10">
        <v>11526</v>
      </c>
      <c r="D57" s="10">
        <v>938764.5</v>
      </c>
      <c r="E57" s="7">
        <f>SUMIFS(Лист2!C:C, Лист2!A:A, A57, Лист2!B:B, B57)</f>
        <v>10</v>
      </c>
      <c r="F57" s="7">
        <f>SUMIFS(Лист2!D:D, Лист2!A:A, A57, Лист2!B:B, B57)</f>
        <v>649</v>
      </c>
      <c r="G57" s="7">
        <f>SUMIFS(Лист2!E:E, Лист2!A:A, A57, Лист2!B:B, B57)</f>
        <v>568</v>
      </c>
      <c r="H57" s="7">
        <f t="shared" si="0"/>
        <v>93876.45</v>
      </c>
      <c r="I57" s="21">
        <f t="shared" si="1"/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SUMIFS(Лист2!C:C, Лист2!A:A, A58, Лист2!B:B, B58)</f>
        <v>10</v>
      </c>
      <c r="F58" s="7">
        <f>SUMIFS(Лист2!D:D, Лист2!A:A, A58, Лист2!B:B, B58)</f>
        <v>591</v>
      </c>
      <c r="G58" s="7">
        <f>SUMIFS(Лист2!E:E, Лист2!A:A, A58, Лист2!B:B, B58)</f>
        <v>513</v>
      </c>
      <c r="H58" s="7">
        <f t="shared" si="0"/>
        <v>84372.75</v>
      </c>
      <c r="I58" s="21">
        <f t="shared" si="1"/>
        <v>20</v>
      </c>
    </row>
    <row r="59" spans="1:9" ht="14.25" customHeight="1" x14ac:dyDescent="0.25">
      <c r="A59" s="9">
        <v>43960</v>
      </c>
      <c r="B59" s="10" t="s">
        <v>12</v>
      </c>
      <c r="C59" s="10">
        <v>13216.5</v>
      </c>
      <c r="D59" s="10">
        <v>1046400</v>
      </c>
      <c r="E59" s="7">
        <f>SUMIFS(Лист2!C:C, Лист2!A:A, A59, Лист2!B:B, B59)</f>
        <v>10</v>
      </c>
      <c r="F59" s="7">
        <f>SUMIFS(Лист2!D:D, Лист2!A:A, A59, Лист2!B:B, B59)</f>
        <v>644</v>
      </c>
      <c r="G59" s="7">
        <f>SUMIFS(Лист2!E:E, Лист2!A:A, A59, Лист2!B:B, B59)</f>
        <v>559</v>
      </c>
      <c r="H59" s="7">
        <f t="shared" si="0"/>
        <v>104640</v>
      </c>
      <c r="I59" s="21">
        <f t="shared" si="1"/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SUMIFS(Лист2!C:C, Лист2!A:A, A60, Лист2!B:B, B60)</f>
        <v>10</v>
      </c>
      <c r="F60" s="7">
        <f>SUMIFS(Лист2!D:D, Лист2!A:A, A60, Лист2!B:B, B60)</f>
        <v>462</v>
      </c>
      <c r="G60" s="7">
        <f>SUMIFS(Лист2!E:E, Лист2!A:A, A60, Лист2!B:B, B60)</f>
        <v>396</v>
      </c>
      <c r="H60" s="7">
        <f t="shared" si="0"/>
        <v>72889.05</v>
      </c>
      <c r="I60" s="21">
        <f t="shared" si="1"/>
        <v>19</v>
      </c>
    </row>
    <row r="61" spans="1:9" ht="14.25" customHeight="1" x14ac:dyDescent="0.25">
      <c r="A61" s="9">
        <v>43950</v>
      </c>
      <c r="B61" s="10" t="s">
        <v>12</v>
      </c>
      <c r="C61" s="10">
        <v>10840.5</v>
      </c>
      <c r="D61" s="10">
        <v>797919</v>
      </c>
      <c r="E61" s="7">
        <f>SUMIFS(Лист2!C:C, Лист2!A:A, A61, Лист2!B:B, B61)</f>
        <v>10</v>
      </c>
      <c r="F61" s="7">
        <f>SUMIFS(Лист2!D:D, Лист2!A:A, A61, Лист2!B:B, B61)</f>
        <v>502</v>
      </c>
      <c r="G61" s="7">
        <f>SUMIFS(Лист2!E:E, Лист2!A:A, A61, Лист2!B:B, B61)</f>
        <v>433</v>
      </c>
      <c r="H61" s="7">
        <f t="shared" si="0"/>
        <v>79791.899999999994</v>
      </c>
      <c r="I61" s="21">
        <f t="shared" si="1"/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SUMIFS(Лист2!C:C, Лист2!A:A, A62, Лист2!B:B, B62)</f>
        <v>10</v>
      </c>
      <c r="F62" s="7">
        <f>SUMIFS(Лист2!D:D, Лист2!A:A, A62, Лист2!B:B, B62)</f>
        <v>416</v>
      </c>
      <c r="G62" s="7">
        <f>SUMIFS(Лист2!E:E, Лист2!A:A, A62, Лист2!B:B, B62)</f>
        <v>341</v>
      </c>
      <c r="H62" s="7">
        <f t="shared" si="0"/>
        <v>61788.15</v>
      </c>
      <c r="I62" s="21">
        <f t="shared" si="1"/>
        <v>18</v>
      </c>
    </row>
    <row r="63" spans="1:9" ht="14.25" customHeight="1" x14ac:dyDescent="0.25">
      <c r="A63" s="9">
        <v>43977</v>
      </c>
      <c r="B63" s="10" t="s">
        <v>12</v>
      </c>
      <c r="C63" s="10">
        <v>11835</v>
      </c>
      <c r="D63" s="10">
        <v>983109</v>
      </c>
      <c r="E63" s="7">
        <f>SUMIFS(Лист2!C:C, Лист2!A:A, A63, Лист2!B:B, B63)</f>
        <v>10</v>
      </c>
      <c r="F63" s="7">
        <f>SUMIFS(Лист2!D:D, Лист2!A:A, A63, Лист2!B:B, B63)</f>
        <v>692</v>
      </c>
      <c r="G63" s="7">
        <f>SUMIFS(Лист2!E:E, Лист2!A:A, A63, Лист2!B:B, B63)</f>
        <v>601</v>
      </c>
      <c r="H63" s="7">
        <f t="shared" si="0"/>
        <v>98310.9</v>
      </c>
      <c r="I63" s="21">
        <f t="shared" si="1"/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SUMIFS(Лист2!C:C, Лист2!A:A, A64, Лист2!B:B, B64)</f>
        <v>10</v>
      </c>
      <c r="F64" s="7">
        <f>SUMIFS(Лист2!D:D, Лист2!A:A, A64, Лист2!B:B, B64)</f>
        <v>554</v>
      </c>
      <c r="G64" s="7">
        <f>SUMIFS(Лист2!E:E, Лист2!A:A, A64, Лист2!B:B, B64)</f>
        <v>472</v>
      </c>
      <c r="H64" s="7">
        <f t="shared" si="0"/>
        <v>89113.95</v>
      </c>
      <c r="I64" s="21">
        <f t="shared" si="1"/>
        <v>18</v>
      </c>
    </row>
    <row r="65" spans="1:9" ht="14.25" customHeight="1" x14ac:dyDescent="0.25">
      <c r="A65" s="9">
        <v>43963</v>
      </c>
      <c r="B65" s="10" t="s">
        <v>12</v>
      </c>
      <c r="C65" s="10">
        <v>9328.5</v>
      </c>
      <c r="D65" s="10">
        <v>732964.5</v>
      </c>
      <c r="E65" s="7">
        <f>SUMIFS(Лист2!C:C, Лист2!A:A, A65, Лист2!B:B, B65)</f>
        <v>10</v>
      </c>
      <c r="F65" s="7">
        <f>SUMIFS(Лист2!D:D, Лист2!A:A, A65, Лист2!B:B, B65)</f>
        <v>526</v>
      </c>
      <c r="G65" s="7">
        <f>SUMIFS(Лист2!E:E, Лист2!A:A, A65, Лист2!B:B, B65)</f>
        <v>448</v>
      </c>
      <c r="H65" s="7">
        <f t="shared" si="0"/>
        <v>73296.45</v>
      </c>
      <c r="I65" s="21">
        <f t="shared" si="1"/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SUMIFS(Лист2!C:C, Лист2!A:A, A66, Лист2!B:B, B66)</f>
        <v>10</v>
      </c>
      <c r="F66" s="7">
        <f>SUMIFS(Лист2!D:D, Лист2!A:A, A66, Лист2!B:B, B66)</f>
        <v>677</v>
      </c>
      <c r="G66" s="7">
        <f>SUMIFS(Лист2!E:E, Лист2!A:A, A66, Лист2!B:B, B66)</f>
        <v>591</v>
      </c>
      <c r="H66" s="7">
        <f t="shared" si="0"/>
        <v>93552.3</v>
      </c>
      <c r="I66" s="21">
        <f t="shared" si="1"/>
        <v>21</v>
      </c>
    </row>
    <row r="67" spans="1:9" ht="14.25" customHeight="1" x14ac:dyDescent="0.25">
      <c r="A67" s="9">
        <v>43971</v>
      </c>
      <c r="B67" s="10" t="s">
        <v>12</v>
      </c>
      <c r="C67" s="10">
        <v>13063.5</v>
      </c>
      <c r="D67" s="10">
        <v>1037247</v>
      </c>
      <c r="E67" s="7">
        <f>SUMIFS(Лист2!C:C, Лист2!A:A, A67, Лист2!B:B, B67)</f>
        <v>10</v>
      </c>
      <c r="F67" s="7">
        <f>SUMIFS(Лист2!D:D, Лист2!A:A, A67, Лист2!B:B, B67)</f>
        <v>745</v>
      </c>
      <c r="G67" s="7">
        <f>SUMIFS(Лист2!E:E, Лист2!A:A, A67, Лист2!B:B, B67)</f>
        <v>654</v>
      </c>
      <c r="H67" s="7">
        <f t="shared" si="0"/>
        <v>103724.7</v>
      </c>
      <c r="I67" s="21">
        <f t="shared" ref="I67:I130" si="2">_xlfn.ISOWEEKNUM(A67)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SUMIFS(Лист2!C:C, Лист2!A:A, A68, Лист2!B:B, B68)</f>
        <v>10</v>
      </c>
      <c r="F68" s="7">
        <f>SUMIFS(Лист2!D:D, Лист2!A:A, A68, Лист2!B:B, B68)</f>
        <v>511</v>
      </c>
      <c r="G68" s="7">
        <f>SUMIFS(Лист2!E:E, Лист2!A:A, A68, Лист2!B:B, B68)</f>
        <v>437</v>
      </c>
      <c r="H68" s="7">
        <f t="shared" si="0"/>
        <v>79332</v>
      </c>
      <c r="I68" s="21">
        <f t="shared" si="2"/>
        <v>19</v>
      </c>
    </row>
    <row r="69" spans="1:9" ht="14.25" customHeight="1" x14ac:dyDescent="0.25">
      <c r="A69" s="9">
        <v>43949</v>
      </c>
      <c r="B69" s="10" t="s">
        <v>12</v>
      </c>
      <c r="C69" s="10">
        <v>12331.5</v>
      </c>
      <c r="D69" s="10">
        <v>869983.5</v>
      </c>
      <c r="E69" s="7">
        <f>SUMIFS(Лист2!C:C, Лист2!A:A, A69, Лист2!B:B, B69)</f>
        <v>10</v>
      </c>
      <c r="F69" s="7">
        <f>SUMIFS(Лист2!D:D, Лист2!A:A, A69, Лист2!B:B, B69)</f>
        <v>580</v>
      </c>
      <c r="G69" s="7">
        <f>SUMIFS(Лист2!E:E, Лист2!A:A, A69, Лист2!B:B, B69)</f>
        <v>506</v>
      </c>
      <c r="H69" s="7">
        <f t="shared" si="0"/>
        <v>86998.35</v>
      </c>
      <c r="I69" s="21">
        <f t="shared" si="2"/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SUMIFS(Лист2!C:C, Лист2!A:A, A70, Лист2!B:B, B70)</f>
        <v>10</v>
      </c>
      <c r="F70" s="7">
        <f>SUMIFS(Лист2!D:D, Лист2!A:A, A70, Лист2!B:B, B70)</f>
        <v>612</v>
      </c>
      <c r="G70" s="7">
        <f>SUMIFS(Лист2!E:E, Лист2!A:A, A70, Лист2!B:B, B70)</f>
        <v>530</v>
      </c>
      <c r="H70" s="7">
        <f t="shared" si="0"/>
        <v>86571.45</v>
      </c>
      <c r="I70" s="21">
        <f t="shared" si="2"/>
        <v>20</v>
      </c>
    </row>
    <row r="71" spans="1:9" ht="14.25" customHeight="1" x14ac:dyDescent="0.25">
      <c r="A71" s="9">
        <v>43982</v>
      </c>
      <c r="B71" s="10" t="s">
        <v>11</v>
      </c>
      <c r="C71" s="10">
        <v>89149.5</v>
      </c>
      <c r="D71" s="10">
        <v>7512646.5</v>
      </c>
      <c r="E71" s="7">
        <f>SUMIFS(Лист2!C:C, Лист2!A:A, A71, Лист2!B:B, B71)</f>
        <v>31</v>
      </c>
      <c r="F71" s="7">
        <f>SUMIFS(Лист2!D:D, Лист2!A:A, A71, Лист2!B:B, B71)</f>
        <v>5760</v>
      </c>
      <c r="G71" s="7">
        <f>SUMIFS(Лист2!E:E, Лист2!A:A, A71, Лист2!B:B, B71)</f>
        <v>5367</v>
      </c>
      <c r="H71" s="7">
        <f t="shared" si="0"/>
        <v>242343.43548387097</v>
      </c>
      <c r="I71" s="21">
        <f t="shared" si="2"/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SUMIFS(Лист2!C:C, Лист2!A:A, A72, Лист2!B:B, B72)</f>
        <v>10</v>
      </c>
      <c r="F72" s="7">
        <f>SUMIFS(Лист2!D:D, Лист2!A:A, A72, Лист2!B:B, B72)</f>
        <v>402</v>
      </c>
      <c r="G72" s="7">
        <f>SUMIFS(Лист2!E:E, Лист2!A:A, A72, Лист2!B:B, B72)</f>
        <v>333</v>
      </c>
      <c r="H72" s="7">
        <f t="shared" si="0"/>
        <v>63788.1</v>
      </c>
      <c r="I72" s="21">
        <f t="shared" si="2"/>
        <v>18</v>
      </c>
    </row>
    <row r="73" spans="1:9" ht="14.25" customHeight="1" x14ac:dyDescent="0.25">
      <c r="A73" s="9">
        <v>43981</v>
      </c>
      <c r="B73" s="10" t="s">
        <v>11</v>
      </c>
      <c r="C73" s="10">
        <v>108123</v>
      </c>
      <c r="D73" s="10">
        <v>9164707.5</v>
      </c>
      <c r="E73" s="7">
        <f>SUMIFS(Лист2!C:C, Лист2!A:A, A73, Лист2!B:B, B73)</f>
        <v>31</v>
      </c>
      <c r="F73" s="7">
        <f>SUMIFS(Лист2!D:D, Лист2!A:A, A73, Лист2!B:B, B73)</f>
        <v>6735</v>
      </c>
      <c r="G73" s="7">
        <f>SUMIFS(Лист2!E:E, Лист2!A:A, A73, Лист2!B:B, B73)</f>
        <v>6264</v>
      </c>
      <c r="H73" s="7">
        <f t="shared" si="0"/>
        <v>295635.72580645164</v>
      </c>
      <c r="I73" s="21">
        <f t="shared" si="2"/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SUMIFS(Лист2!C:C, Лист2!A:A, A74, Лист2!B:B, B74)</f>
        <v>10</v>
      </c>
      <c r="F74" s="7">
        <f>SUMIFS(Лист2!D:D, Лист2!A:A, A74, Лист2!B:B, B74)</f>
        <v>465</v>
      </c>
      <c r="G74" s="7">
        <f>SUMIFS(Лист2!E:E, Лист2!A:A, A74, Лист2!B:B, B74)</f>
        <v>390</v>
      </c>
      <c r="H74" s="7">
        <f t="shared" si="0"/>
        <v>69683.25</v>
      </c>
      <c r="I74" s="21">
        <f t="shared" si="2"/>
        <v>19</v>
      </c>
    </row>
    <row r="75" spans="1:9" ht="14.25" customHeight="1" x14ac:dyDescent="0.25">
      <c r="A75" s="9">
        <v>43974</v>
      </c>
      <c r="B75" s="10" t="s">
        <v>12</v>
      </c>
      <c r="C75" s="10">
        <v>14773.5</v>
      </c>
      <c r="D75" s="10">
        <v>1241383.5</v>
      </c>
      <c r="E75" s="7">
        <f>SUMIFS(Лист2!C:C, Лист2!A:A, A75, Лист2!B:B, B75)</f>
        <v>10</v>
      </c>
      <c r="F75" s="7">
        <f>SUMIFS(Лист2!D:D, Лист2!A:A, A75, Лист2!B:B, B75)</f>
        <v>828</v>
      </c>
      <c r="G75" s="7">
        <f>SUMIFS(Лист2!E:E, Лист2!A:A, A75, Лист2!B:B, B75)</f>
        <v>734</v>
      </c>
      <c r="H75" s="7">
        <f t="shared" si="0"/>
        <v>124138.35</v>
      </c>
      <c r="I75" s="21">
        <f t="shared" si="2"/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SUMIFS(Лист2!C:C, Лист2!A:A, A76, Лист2!B:B, B76)</f>
        <v>31</v>
      </c>
      <c r="F76" s="7">
        <f>SUMIFS(Лист2!D:D, Лист2!A:A, A76, Лист2!B:B, B76)</f>
        <v>5355</v>
      </c>
      <c r="G76" s="7">
        <f>SUMIFS(Лист2!E:E, Лист2!A:A, A76, Лист2!B:B, B76)</f>
        <v>4969</v>
      </c>
      <c r="H76" s="7">
        <f t="shared" si="0"/>
        <v>214244.17741935485</v>
      </c>
      <c r="I76" s="21">
        <f t="shared" si="2"/>
        <v>22</v>
      </c>
    </row>
    <row r="77" spans="1:9" ht="14.25" customHeight="1" x14ac:dyDescent="0.25">
      <c r="A77" s="9">
        <v>43976</v>
      </c>
      <c r="B77" s="10" t="s">
        <v>12</v>
      </c>
      <c r="C77" s="10">
        <v>12280.5</v>
      </c>
      <c r="D77" s="10">
        <v>1030440</v>
      </c>
      <c r="E77" s="7">
        <f>SUMIFS(Лист2!C:C, Лист2!A:A, A77, Лист2!B:B, B77)</f>
        <v>10</v>
      </c>
      <c r="F77" s="7">
        <f>SUMIFS(Лист2!D:D, Лист2!A:A, A77, Лист2!B:B, B77)</f>
        <v>739</v>
      </c>
      <c r="G77" s="7">
        <f>SUMIFS(Лист2!E:E, Лист2!A:A, A77, Лист2!B:B, B77)</f>
        <v>642</v>
      </c>
      <c r="H77" s="7">
        <f t="shared" si="0"/>
        <v>103044</v>
      </c>
      <c r="I77" s="21">
        <f t="shared" si="2"/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SUMIFS(Лист2!C:C, Лист2!A:A, A78, Лист2!B:B, B78)</f>
        <v>10</v>
      </c>
      <c r="F78" s="7">
        <f>SUMIFS(Лист2!D:D, Лист2!A:A, A78, Лист2!B:B, B78)</f>
        <v>448</v>
      </c>
      <c r="G78" s="7">
        <f>SUMIFS(Лист2!E:E, Лист2!A:A, A78, Лист2!B:B, B78)</f>
        <v>376</v>
      </c>
      <c r="H78" s="7">
        <f t="shared" si="0"/>
        <v>71619.600000000006</v>
      </c>
      <c r="I78" s="21">
        <f t="shared" si="2"/>
        <v>18</v>
      </c>
    </row>
    <row r="79" spans="1:9" ht="14.25" customHeight="1" x14ac:dyDescent="0.25">
      <c r="A79" s="9">
        <v>43961</v>
      </c>
      <c r="B79" s="10" t="s">
        <v>12</v>
      </c>
      <c r="C79" s="10">
        <v>12918</v>
      </c>
      <c r="D79" s="10">
        <v>1004788.5</v>
      </c>
      <c r="E79" s="7">
        <f>SUMIFS(Лист2!C:C, Лист2!A:A, A79, Лист2!B:B, B79)</f>
        <v>10</v>
      </c>
      <c r="F79" s="7">
        <f>SUMIFS(Лист2!D:D, Лист2!A:A, A79, Лист2!B:B, B79)</f>
        <v>642</v>
      </c>
      <c r="G79" s="7">
        <f>SUMIFS(Лист2!E:E, Лист2!A:A, A79, Лист2!B:B, B79)</f>
        <v>556</v>
      </c>
      <c r="H79" s="7">
        <f t="shared" si="0"/>
        <v>100478.85</v>
      </c>
      <c r="I79" s="21">
        <f t="shared" si="2"/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SUMIFS(Лист2!C:C, Лист2!A:A, A80, Лист2!B:B, B80)</f>
        <v>10</v>
      </c>
      <c r="F80" s="7">
        <f>SUMIFS(Лист2!D:D, Лист2!A:A, A80, Лист2!B:B, B80)</f>
        <v>638</v>
      </c>
      <c r="G80" s="7">
        <f>SUMIFS(Лист2!E:E, Лист2!A:A, A80, Лист2!B:B, B80)</f>
        <v>547</v>
      </c>
      <c r="H80" s="7">
        <f t="shared" si="0"/>
        <v>95970.3</v>
      </c>
      <c r="I80" s="21">
        <f t="shared" si="2"/>
        <v>19</v>
      </c>
    </row>
    <row r="81" spans="1:9" ht="14.25" customHeight="1" x14ac:dyDescent="0.25">
      <c r="A81" s="9">
        <v>43958</v>
      </c>
      <c r="B81" s="10" t="s">
        <v>12</v>
      </c>
      <c r="C81" s="10">
        <v>11029.5</v>
      </c>
      <c r="D81" s="10">
        <v>863754</v>
      </c>
      <c r="E81" s="7">
        <f>SUMIFS(Лист2!C:C, Лист2!A:A, A81, Лист2!B:B, B81)</f>
        <v>10</v>
      </c>
      <c r="F81" s="7">
        <f>SUMIFS(Лист2!D:D, Лист2!A:A, A81, Лист2!B:B, B81)</f>
        <v>563</v>
      </c>
      <c r="G81" s="7">
        <f>SUMIFS(Лист2!E:E, Лист2!A:A, A81, Лист2!B:B, B81)</f>
        <v>486</v>
      </c>
      <c r="H81" s="7">
        <f t="shared" si="0"/>
        <v>86375.4</v>
      </c>
      <c r="I81" s="21">
        <f t="shared" si="2"/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SUMIFS(Лист2!C:C, Лист2!A:A, A82, Лист2!B:B, B82)</f>
        <v>10</v>
      </c>
      <c r="F82" s="7">
        <f>SUMIFS(Лист2!D:D, Лист2!A:A, A82, Лист2!B:B, B82)</f>
        <v>639</v>
      </c>
      <c r="G82" s="7">
        <f>SUMIFS(Лист2!E:E, Лист2!A:A, A82, Лист2!B:B, B82)</f>
        <v>557</v>
      </c>
      <c r="H82" s="7">
        <f t="shared" si="0"/>
        <v>82898.399999999994</v>
      </c>
      <c r="I82" s="21">
        <f t="shared" si="2"/>
        <v>21</v>
      </c>
    </row>
    <row r="83" spans="1:9" ht="14.25" customHeight="1" x14ac:dyDescent="0.25">
      <c r="A83" s="9">
        <v>43982</v>
      </c>
      <c r="B83" s="10" t="s">
        <v>12</v>
      </c>
      <c r="C83" s="10">
        <v>12724.5</v>
      </c>
      <c r="D83" s="10">
        <v>1045515</v>
      </c>
      <c r="E83" s="7">
        <f>SUMIFS(Лист2!C:C, Лист2!A:A, A83, Лист2!B:B, B83)</f>
        <v>10</v>
      </c>
      <c r="F83" s="7">
        <f>SUMIFS(Лист2!D:D, Лист2!A:A, A83, Лист2!B:B, B83)</f>
        <v>749</v>
      </c>
      <c r="G83" s="7">
        <f>SUMIFS(Лист2!E:E, Лист2!A:A, A83, Лист2!B:B, B83)</f>
        <v>655</v>
      </c>
      <c r="H83" s="7">
        <f t="shared" si="0"/>
        <v>104551.5</v>
      </c>
      <c r="I83" s="21">
        <f t="shared" si="2"/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SUMIFS(Лист2!C:C, Лист2!A:A, A84, Лист2!B:B, B84)</f>
        <v>10</v>
      </c>
      <c r="F84" s="7">
        <f>SUMIFS(Лист2!D:D, Лист2!A:A, A84, Лист2!B:B, B84)</f>
        <v>865</v>
      </c>
      <c r="G84" s="7">
        <f>SUMIFS(Лист2!E:E, Лист2!A:A, A84, Лист2!B:B, B84)</f>
        <v>763</v>
      </c>
      <c r="H84" s="7">
        <f t="shared" si="0"/>
        <v>126048.3</v>
      </c>
      <c r="I84" s="21">
        <f t="shared" si="2"/>
        <v>22</v>
      </c>
    </row>
    <row r="85" spans="1:9" ht="14.25" customHeight="1" x14ac:dyDescent="0.25">
      <c r="A85" s="9">
        <v>43979</v>
      </c>
      <c r="B85" s="10" t="s">
        <v>12</v>
      </c>
      <c r="C85" s="10">
        <v>13038</v>
      </c>
      <c r="D85" s="10">
        <v>1114552.5</v>
      </c>
      <c r="E85" s="7">
        <f>SUMIFS(Лист2!C:C, Лист2!A:A, A85, Лист2!B:B, B85)</f>
        <v>10</v>
      </c>
      <c r="F85" s="7">
        <f>SUMIFS(Лист2!D:D, Лист2!A:A, A85, Лист2!B:B, B85)</f>
        <v>791</v>
      </c>
      <c r="G85" s="7">
        <f>SUMIFS(Лист2!E:E, Лист2!A:A, A85, Лист2!B:B, B85)</f>
        <v>697</v>
      </c>
      <c r="H85" s="7">
        <f t="shared" si="0"/>
        <v>111455.25</v>
      </c>
      <c r="I85" s="21">
        <f t="shared" si="2"/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SUMIFS(Лист2!C:C, Лист2!A:A, A86, Лист2!B:B, B86)</f>
        <v>19</v>
      </c>
      <c r="F86" s="7">
        <f>SUMIFS(Лист2!D:D, Лист2!A:A, A86, Лист2!B:B, B86)</f>
        <v>2080</v>
      </c>
      <c r="G86" s="7">
        <f>SUMIFS(Лист2!E:E, Лист2!A:A, A86, Лист2!B:B, B86)</f>
        <v>1844</v>
      </c>
      <c r="H86" s="7">
        <f t="shared" si="0"/>
        <v>169606.18421052632</v>
      </c>
      <c r="I86" s="21">
        <f t="shared" si="2"/>
        <v>20</v>
      </c>
    </row>
    <row r="87" spans="1:9" ht="14.25" customHeight="1" x14ac:dyDescent="0.25">
      <c r="A87" s="9">
        <v>43970</v>
      </c>
      <c r="B87" s="10" t="s">
        <v>13</v>
      </c>
      <c r="C87" s="10">
        <v>32434.5</v>
      </c>
      <c r="D87" s="10">
        <v>2865337.5</v>
      </c>
      <c r="E87" s="7">
        <f>SUMIFS(Лист2!C:C, Лист2!A:A, A87, Лист2!B:B, B87)</f>
        <v>19</v>
      </c>
      <c r="F87" s="7">
        <f>SUMIFS(Лист2!D:D, Лист2!A:A, A87, Лист2!B:B, B87)</f>
        <v>1999</v>
      </c>
      <c r="G87" s="7">
        <f>SUMIFS(Лист2!E:E, Лист2!A:A, A87, Лист2!B:B, B87)</f>
        <v>1799</v>
      </c>
      <c r="H87" s="7">
        <f t="shared" si="0"/>
        <v>150807.23684210525</v>
      </c>
      <c r="I87" s="21">
        <f t="shared" si="2"/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SUMIFS(Лист2!C:C, Лист2!A:A, A88, Лист2!B:B, B88)</f>
        <v>19</v>
      </c>
      <c r="F88" s="7">
        <f>SUMIFS(Лист2!D:D, Лист2!A:A, A88, Лист2!B:B, B88)</f>
        <v>1871</v>
      </c>
      <c r="G88" s="7">
        <f>SUMIFS(Лист2!E:E, Лист2!A:A, A88, Лист2!B:B, B88)</f>
        <v>1660</v>
      </c>
      <c r="H88" s="7">
        <f t="shared" si="0"/>
        <v>141804.71052631579</v>
      </c>
      <c r="I88" s="21">
        <f t="shared" si="2"/>
        <v>20</v>
      </c>
    </row>
    <row r="89" spans="1:9" ht="14.25" customHeight="1" x14ac:dyDescent="0.25">
      <c r="A89" s="9">
        <v>43960</v>
      </c>
      <c r="B89" s="10" t="s">
        <v>13</v>
      </c>
      <c r="C89" s="10">
        <v>32079</v>
      </c>
      <c r="D89" s="10">
        <v>2902167</v>
      </c>
      <c r="E89" s="7">
        <f>SUMIFS(Лист2!C:C, Лист2!A:A, A89, Лист2!B:B, B89)</f>
        <v>19</v>
      </c>
      <c r="F89" s="7">
        <f>SUMIFS(Лист2!D:D, Лист2!A:A, A89, Лист2!B:B, B89)</f>
        <v>1851</v>
      </c>
      <c r="G89" s="7">
        <f>SUMIFS(Лист2!E:E, Лист2!A:A, A89, Лист2!B:B, B89)</f>
        <v>1635</v>
      </c>
      <c r="H89" s="7">
        <f t="shared" si="0"/>
        <v>152745.63157894736</v>
      </c>
      <c r="I89" s="21">
        <f t="shared" si="2"/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SUMIFS(Лист2!C:C, Лист2!A:A, A90, Лист2!B:B, B90)</f>
        <v>19</v>
      </c>
      <c r="F90" s="7">
        <f>SUMIFS(Лист2!D:D, Лист2!A:A, A90, Лист2!B:B, B90)</f>
        <v>1582</v>
      </c>
      <c r="G90" s="7">
        <f>SUMIFS(Лист2!E:E, Лист2!A:A, A90, Лист2!B:B, B90)</f>
        <v>1403</v>
      </c>
      <c r="H90" s="7">
        <f t="shared" si="0"/>
        <v>128998.34210526316</v>
      </c>
      <c r="I90" s="21">
        <f t="shared" si="2"/>
        <v>19</v>
      </c>
    </row>
    <row r="91" spans="1:9" ht="14.25" customHeight="1" x14ac:dyDescent="0.25">
      <c r="A91" s="9">
        <v>43950</v>
      </c>
      <c r="B91" s="10" t="s">
        <v>13</v>
      </c>
      <c r="C91" s="10">
        <v>25917</v>
      </c>
      <c r="D91" s="10">
        <v>2397588</v>
      </c>
      <c r="E91" s="7">
        <f>SUMIFS(Лист2!C:C, Лист2!A:A, A91, Лист2!B:B, B91)</f>
        <v>18</v>
      </c>
      <c r="F91" s="7">
        <f>SUMIFS(Лист2!D:D, Лист2!A:A, A91, Лист2!B:B, B91)</f>
        <v>1534</v>
      </c>
      <c r="G91" s="7">
        <f>SUMIFS(Лист2!E:E, Лист2!A:A, A91, Лист2!B:B, B91)</f>
        <v>1369</v>
      </c>
      <c r="H91" s="7">
        <f t="shared" si="0"/>
        <v>133199.33333333334</v>
      </c>
      <c r="I91" s="21">
        <f t="shared" si="2"/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SUMIFS(Лист2!C:C, Лист2!A:A, A92, Лист2!B:B, B92)</f>
        <v>19</v>
      </c>
      <c r="F92" s="7">
        <f>SUMIFS(Лист2!D:D, Лист2!A:A, A92, Лист2!B:B, B92)</f>
        <v>1217</v>
      </c>
      <c r="G92" s="7">
        <f>SUMIFS(Лист2!E:E, Лист2!A:A, A92, Лист2!B:B, B92)</f>
        <v>1048</v>
      </c>
      <c r="H92" s="7">
        <f t="shared" si="0"/>
        <v>94696.34210526316</v>
      </c>
      <c r="I92" s="21">
        <f t="shared" si="2"/>
        <v>18</v>
      </c>
    </row>
    <row r="93" spans="1:9" ht="14.25" customHeight="1" x14ac:dyDescent="0.25">
      <c r="A93" s="9">
        <v>43977</v>
      </c>
      <c r="B93" s="10" t="s">
        <v>13</v>
      </c>
      <c r="C93" s="10">
        <v>31407</v>
      </c>
      <c r="D93" s="10">
        <v>2907411</v>
      </c>
      <c r="E93" s="7">
        <f>SUMIFS(Лист2!C:C, Лист2!A:A, A93, Лист2!B:B, B93)</f>
        <v>20</v>
      </c>
      <c r="F93" s="7">
        <f>SUMIFS(Лист2!D:D, Лист2!A:A, A93, Лист2!B:B, B93)</f>
        <v>2036</v>
      </c>
      <c r="G93" s="7">
        <f>SUMIFS(Лист2!E:E, Лист2!A:A, A93, Лист2!B:B, B93)</f>
        <v>1790</v>
      </c>
      <c r="H93" s="7">
        <f t="shared" si="0"/>
        <v>145370.54999999999</v>
      </c>
      <c r="I93" s="21">
        <f t="shared" si="2"/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SUMIFS(Лист2!C:C, Лист2!A:A, A94, Лист2!B:B, B94)</f>
        <v>19</v>
      </c>
      <c r="F94" s="7">
        <f>SUMIFS(Лист2!D:D, Лист2!A:A, A94, Лист2!B:B, B94)</f>
        <v>1497</v>
      </c>
      <c r="G94" s="7">
        <f>SUMIFS(Лист2!E:E, Лист2!A:A, A94, Лист2!B:B, B94)</f>
        <v>1291</v>
      </c>
      <c r="H94" s="7">
        <f t="shared" si="0"/>
        <v>124966.10526315789</v>
      </c>
      <c r="I94" s="21">
        <f t="shared" si="2"/>
        <v>18</v>
      </c>
    </row>
    <row r="95" spans="1:9" ht="14.25" customHeight="1" x14ac:dyDescent="0.25">
      <c r="A95" s="9">
        <v>43963</v>
      </c>
      <c r="B95" s="10" t="s">
        <v>13</v>
      </c>
      <c r="C95" s="10">
        <v>26032.5</v>
      </c>
      <c r="D95" s="10">
        <v>2370432</v>
      </c>
      <c r="E95" s="7">
        <f>SUMIFS(Лист2!C:C, Лист2!A:A, A95, Лист2!B:B, B95)</f>
        <v>19</v>
      </c>
      <c r="F95" s="7">
        <f>SUMIFS(Лист2!D:D, Лист2!A:A, A95, Лист2!B:B, B95)</f>
        <v>1649</v>
      </c>
      <c r="G95" s="7">
        <f>SUMIFS(Лист2!E:E, Лист2!A:A, A95, Лист2!B:B, B95)</f>
        <v>1460</v>
      </c>
      <c r="H95" s="7">
        <f t="shared" si="0"/>
        <v>124759.57894736843</v>
      </c>
      <c r="I95" s="21">
        <f t="shared" si="2"/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SUMIFS(Лист2!C:C, Лист2!A:A, A96, Лист2!B:B, B96)</f>
        <v>19</v>
      </c>
      <c r="F96" s="7">
        <f>SUMIFS(Лист2!D:D, Лист2!A:A, A96, Лист2!B:B, B96)</f>
        <v>1949</v>
      </c>
      <c r="G96" s="7">
        <f>SUMIFS(Лист2!E:E, Лист2!A:A, A96, Лист2!B:B, B96)</f>
        <v>1724</v>
      </c>
      <c r="H96" s="7">
        <f t="shared" si="0"/>
        <v>150167.44736842104</v>
      </c>
      <c r="I96" s="21">
        <f t="shared" si="2"/>
        <v>21</v>
      </c>
    </row>
    <row r="97" spans="1:9" ht="14.25" customHeight="1" x14ac:dyDescent="0.25">
      <c r="A97" s="9">
        <v>43971</v>
      </c>
      <c r="B97" s="10" t="s">
        <v>13</v>
      </c>
      <c r="C97" s="10">
        <v>29955</v>
      </c>
      <c r="D97" s="10">
        <v>2692230</v>
      </c>
      <c r="E97" s="7">
        <f>SUMIFS(Лист2!C:C, Лист2!A:A, A97, Лист2!B:B, B97)</f>
        <v>19</v>
      </c>
      <c r="F97" s="7">
        <f>SUMIFS(Лист2!D:D, Лист2!A:A, A97, Лист2!B:B, B97)</f>
        <v>1889</v>
      </c>
      <c r="G97" s="7">
        <f>SUMIFS(Лист2!E:E, Лист2!A:A, A97, Лист2!B:B, B97)</f>
        <v>1690</v>
      </c>
      <c r="H97" s="7">
        <f t="shared" si="0"/>
        <v>141696.31578947368</v>
      </c>
      <c r="I97" s="21">
        <f t="shared" si="2"/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SUMIFS(Лист2!C:C, Лист2!A:A, A98, Лист2!B:B, B98)</f>
        <v>19</v>
      </c>
      <c r="F98" s="7">
        <f>SUMIFS(Лист2!D:D, Лист2!A:A, A98, Лист2!B:B, B98)</f>
        <v>1417</v>
      </c>
      <c r="G98" s="7">
        <f>SUMIFS(Лист2!E:E, Лист2!A:A, A98, Лист2!B:B, B98)</f>
        <v>1245</v>
      </c>
      <c r="H98" s="7">
        <f t="shared" si="0"/>
        <v>109468.42105263157</v>
      </c>
      <c r="I98" s="21">
        <f t="shared" si="2"/>
        <v>19</v>
      </c>
    </row>
    <row r="99" spans="1:9" ht="14.25" customHeight="1" x14ac:dyDescent="0.25">
      <c r="A99" s="9">
        <v>43949</v>
      </c>
      <c r="B99" s="10" t="s">
        <v>13</v>
      </c>
      <c r="C99" s="10">
        <v>23314.5</v>
      </c>
      <c r="D99" s="10">
        <v>2136817.5</v>
      </c>
      <c r="E99" s="7">
        <f>SUMIFS(Лист2!C:C, Лист2!A:A, A99, Лист2!B:B, B99)</f>
        <v>17</v>
      </c>
      <c r="F99" s="7">
        <f>SUMIFS(Лист2!D:D, Лист2!A:A, A99, Лист2!B:B, B99)</f>
        <v>1439</v>
      </c>
      <c r="G99" s="7">
        <f>SUMIFS(Лист2!E:E, Лист2!A:A, A99, Лист2!B:B, B99)</f>
        <v>1265</v>
      </c>
      <c r="H99" s="7">
        <f t="shared" si="0"/>
        <v>125695.14705882352</v>
      </c>
      <c r="I99" s="21">
        <f t="shared" si="2"/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SUMIFS(Лист2!C:C, Лист2!A:A, A100, Лист2!B:B, B100)</f>
        <v>19</v>
      </c>
      <c r="F100" s="7">
        <f>SUMIFS(Лист2!D:D, Лист2!A:A, A100, Лист2!B:B, B100)</f>
        <v>1625</v>
      </c>
      <c r="G100" s="7">
        <f>SUMIFS(Лист2!E:E, Лист2!A:A, A100, Лист2!B:B, B100)</f>
        <v>1444</v>
      </c>
      <c r="H100" s="7">
        <f t="shared" si="0"/>
        <v>124912.5</v>
      </c>
      <c r="I100" s="21">
        <f t="shared" si="2"/>
        <v>20</v>
      </c>
    </row>
    <row r="101" spans="1:9" ht="14.25" customHeight="1" x14ac:dyDescent="0.25">
      <c r="A101" s="9">
        <v>43954</v>
      </c>
      <c r="B101" s="10" t="s">
        <v>13</v>
      </c>
      <c r="C101" s="10">
        <v>23539.5</v>
      </c>
      <c r="D101" s="10">
        <v>2170309.5</v>
      </c>
      <c r="E101" s="7">
        <f>SUMIFS(Лист2!C:C, Лист2!A:A, A101, Лист2!B:B, B101)</f>
        <v>19</v>
      </c>
      <c r="F101" s="7">
        <f>SUMIFS(Лист2!D:D, Лист2!A:A, A101, Лист2!B:B, B101)</f>
        <v>1402</v>
      </c>
      <c r="G101" s="7">
        <f>SUMIFS(Лист2!E:E, Лист2!A:A, A101, Лист2!B:B, B101)</f>
        <v>1234</v>
      </c>
      <c r="H101" s="7">
        <f t="shared" si="0"/>
        <v>114226.81578947368</v>
      </c>
      <c r="I101" s="21">
        <f t="shared" si="2"/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SUMIFS(Лист2!C:C, Лист2!A:A, A102, Лист2!B:B, B102)</f>
        <v>19</v>
      </c>
      <c r="F102" s="7">
        <f>SUMIFS(Лист2!D:D, Лист2!A:A, A102, Лист2!B:B, B102)</f>
        <v>1499</v>
      </c>
      <c r="G102" s="7">
        <f>SUMIFS(Лист2!E:E, Лист2!A:A, A102, Лист2!B:B, B102)</f>
        <v>1323</v>
      </c>
      <c r="H102" s="7">
        <f t="shared" si="0"/>
        <v>117501</v>
      </c>
      <c r="I102" s="21">
        <f t="shared" si="2"/>
        <v>19</v>
      </c>
    </row>
    <row r="103" spans="1:9" ht="14.25" customHeight="1" x14ac:dyDescent="0.25">
      <c r="A103" s="9">
        <v>43974</v>
      </c>
      <c r="B103" s="10" t="s">
        <v>13</v>
      </c>
      <c r="C103" s="10">
        <v>38176.5</v>
      </c>
      <c r="D103" s="10">
        <v>3385372.5</v>
      </c>
      <c r="E103" s="7">
        <f>SUMIFS(Лист2!C:C, Лист2!A:A, A103, Лист2!B:B, B103)</f>
        <v>20</v>
      </c>
      <c r="F103" s="7">
        <f>SUMIFS(Лист2!D:D, Лист2!A:A, A103, Лист2!B:B, B103)</f>
        <v>2266</v>
      </c>
      <c r="G103" s="7">
        <f>SUMIFS(Лист2!E:E, Лист2!A:A, A103, Лист2!B:B, B103)</f>
        <v>1993</v>
      </c>
      <c r="H103" s="7">
        <f t="shared" si="0"/>
        <v>169268.625</v>
      </c>
      <c r="I103" s="21">
        <f t="shared" si="2"/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SUMIFS(Лист2!C:C, Лист2!A:A, A104, Лист2!B:B, B104)</f>
        <v>20</v>
      </c>
      <c r="F104" s="7">
        <f>SUMIFS(Лист2!D:D, Лист2!A:A, A104, Лист2!B:B, B104)</f>
        <v>2011</v>
      </c>
      <c r="G104" s="7">
        <f>SUMIFS(Лист2!E:E, Лист2!A:A, A104, Лист2!B:B, B104)</f>
        <v>1791</v>
      </c>
      <c r="H104" s="7">
        <f t="shared" si="0"/>
        <v>143286.375</v>
      </c>
      <c r="I104" s="21">
        <f t="shared" si="2"/>
        <v>22</v>
      </c>
    </row>
    <row r="105" spans="1:9" ht="14.25" customHeight="1" x14ac:dyDescent="0.25">
      <c r="A105" s="9">
        <v>43951</v>
      </c>
      <c r="B105" s="10" t="s">
        <v>13</v>
      </c>
      <c r="C105" s="10">
        <v>24211.5</v>
      </c>
      <c r="D105" s="10">
        <v>2267664</v>
      </c>
      <c r="E105" s="7">
        <f>SUMIFS(Лист2!C:C, Лист2!A:A, A105, Лист2!B:B, B105)</f>
        <v>19</v>
      </c>
      <c r="F105" s="7">
        <f>SUMIFS(Лист2!D:D, Лист2!A:A, A105, Лист2!B:B, B105)</f>
        <v>1499</v>
      </c>
      <c r="G105" s="7">
        <f>SUMIFS(Лист2!E:E, Лист2!A:A, A105, Лист2!B:B, B105)</f>
        <v>1322</v>
      </c>
      <c r="H105" s="7">
        <f t="shared" si="0"/>
        <v>119350.73684210527</v>
      </c>
      <c r="I105" s="21">
        <f t="shared" si="2"/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SUMIFS(Лист2!C:C, Лист2!A:A, A106, Лист2!B:B, B106)</f>
        <v>19</v>
      </c>
      <c r="F106" s="7">
        <f>SUMIFS(Лист2!D:D, Лист2!A:A, A106, Лист2!B:B, B106)</f>
        <v>1848</v>
      </c>
      <c r="G106" s="7">
        <f>SUMIFS(Лист2!E:E, Лист2!A:A, A106, Лист2!B:B, B106)</f>
        <v>1649</v>
      </c>
      <c r="H106" s="7">
        <f t="shared" si="0"/>
        <v>150647.28947368421</v>
      </c>
      <c r="I106" s="21">
        <f t="shared" si="2"/>
        <v>19</v>
      </c>
    </row>
    <row r="107" spans="1:9" ht="14.25" customHeight="1" x14ac:dyDescent="0.25">
      <c r="A107" s="9">
        <v>43959</v>
      </c>
      <c r="B107" s="10" t="s">
        <v>13</v>
      </c>
      <c r="C107" s="10">
        <v>25294.5</v>
      </c>
      <c r="D107" s="10">
        <v>2271454.5</v>
      </c>
      <c r="E107" s="7">
        <f>SUMIFS(Лист2!C:C, Лист2!A:A, A107, Лист2!B:B, B107)</f>
        <v>19</v>
      </c>
      <c r="F107" s="7">
        <f>SUMIFS(Лист2!D:D, Лист2!A:A, A107, Лист2!B:B, B107)</f>
        <v>1522</v>
      </c>
      <c r="G107" s="7">
        <f>SUMIFS(Лист2!E:E, Лист2!A:A, A107, Лист2!B:B, B107)</f>
        <v>1340</v>
      </c>
      <c r="H107" s="7">
        <f t="shared" si="0"/>
        <v>119550.23684210527</v>
      </c>
      <c r="I107" s="21">
        <f t="shared" si="2"/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SUMIFS(Лист2!C:C, Лист2!A:A, A108, Лист2!B:B, B108)</f>
        <v>19</v>
      </c>
      <c r="F108" s="7">
        <f>SUMIFS(Лист2!D:D, Лист2!A:A, A108, Лист2!B:B, B108)</f>
        <v>1530</v>
      </c>
      <c r="G108" s="7">
        <f>SUMIFS(Лист2!E:E, Лист2!A:A, A108, Лист2!B:B, B108)</f>
        <v>1338</v>
      </c>
      <c r="H108" s="7">
        <f t="shared" si="0"/>
        <v>123719.60526315789</v>
      </c>
      <c r="I108" s="21">
        <f t="shared" si="2"/>
        <v>19</v>
      </c>
    </row>
    <row r="109" spans="1:9" ht="14.25" customHeight="1" x14ac:dyDescent="0.25">
      <c r="A109" s="9">
        <v>43975</v>
      </c>
      <c r="B109" s="10" t="s">
        <v>13</v>
      </c>
      <c r="C109" s="10">
        <v>31854</v>
      </c>
      <c r="D109" s="10">
        <v>2915533.5</v>
      </c>
      <c r="E109" s="7">
        <f>SUMIFS(Лист2!C:C, Лист2!A:A, A109, Лист2!B:B, B109)</f>
        <v>20</v>
      </c>
      <c r="F109" s="7">
        <f>SUMIFS(Лист2!D:D, Лист2!A:A, A109, Лист2!B:B, B109)</f>
        <v>2015</v>
      </c>
      <c r="G109" s="7">
        <f>SUMIFS(Лист2!E:E, Лист2!A:A, A109, Лист2!B:B, B109)</f>
        <v>1803</v>
      </c>
      <c r="H109" s="7">
        <f t="shared" si="0"/>
        <v>145776.67499999999</v>
      </c>
      <c r="I109" s="21">
        <f t="shared" si="2"/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SUMIFS(Лист2!C:C, Лист2!A:A, A110, Лист2!B:B, B110)</f>
        <v>20</v>
      </c>
      <c r="F110" s="7">
        <f>SUMIFS(Лист2!D:D, Лист2!A:A, A110, Лист2!B:B, B110)</f>
        <v>2060</v>
      </c>
      <c r="G110" s="7">
        <f>SUMIFS(Лист2!E:E, Лист2!A:A, A110, Лист2!B:B, B110)</f>
        <v>1826</v>
      </c>
      <c r="H110" s="7">
        <f t="shared" si="0"/>
        <v>149599.95000000001</v>
      </c>
      <c r="I110" s="21">
        <f t="shared" si="2"/>
        <v>22</v>
      </c>
    </row>
    <row r="111" spans="1:9" ht="14.25" customHeight="1" x14ac:dyDescent="0.25">
      <c r="A111" s="9">
        <v>43981</v>
      </c>
      <c r="B111" s="10" t="s">
        <v>13</v>
      </c>
      <c r="C111" s="10">
        <v>39867</v>
      </c>
      <c r="D111" s="10">
        <v>3654166.5</v>
      </c>
      <c r="E111" s="7">
        <f>SUMIFS(Лист2!C:C, Лист2!A:A, A111, Лист2!B:B, B111)</f>
        <v>20</v>
      </c>
      <c r="F111" s="7">
        <f>SUMIFS(Лист2!D:D, Лист2!A:A, A111, Лист2!B:B, B111)</f>
        <v>2451</v>
      </c>
      <c r="G111" s="7">
        <f>SUMIFS(Лист2!E:E, Лист2!A:A, A111, Лист2!B:B, B111)</f>
        <v>2178</v>
      </c>
      <c r="H111" s="7">
        <f t="shared" si="0"/>
        <v>182708.32500000001</v>
      </c>
      <c r="I111" s="21">
        <f t="shared" si="2"/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SUMIFS(Лист2!C:C, Лист2!A:A, A112, Лист2!B:B, B112)</f>
        <v>20</v>
      </c>
      <c r="F112" s="7">
        <f>SUMIFS(Лист2!D:D, Лист2!A:A, A112, Лист2!B:B, B112)</f>
        <v>2088</v>
      </c>
      <c r="G112" s="7">
        <f>SUMIFS(Лист2!E:E, Лист2!A:A, A112, Лист2!B:B, B112)</f>
        <v>1848</v>
      </c>
      <c r="H112" s="7">
        <f t="shared" si="0"/>
        <v>150210.67499999999</v>
      </c>
      <c r="I112" s="21">
        <f t="shared" si="2"/>
        <v>22</v>
      </c>
    </row>
    <row r="113" spans="1:9" ht="14.25" customHeight="1" x14ac:dyDescent="0.25">
      <c r="A113" s="9">
        <v>43967</v>
      </c>
      <c r="B113" s="10" t="s">
        <v>14</v>
      </c>
      <c r="C113" s="10">
        <v>321412.5</v>
      </c>
      <c r="D113" s="10">
        <v>32235864</v>
      </c>
      <c r="E113" s="7">
        <f>SUMIFS(Лист2!C:C, Лист2!A:A, A113, Лист2!B:B, B113)</f>
        <v>129</v>
      </c>
      <c r="F113" s="7">
        <f>SUMIFS(Лист2!D:D, Лист2!A:A, A113, Лист2!B:B, B113)</f>
        <v>17914</v>
      </c>
      <c r="G113" s="7">
        <f>SUMIFS(Лист2!E:E, Лист2!A:A, A113, Лист2!B:B, B113)</f>
        <v>16631</v>
      </c>
      <c r="H113" s="7">
        <f t="shared" si="0"/>
        <v>249890.41860465117</v>
      </c>
      <c r="I113" s="21">
        <f t="shared" si="2"/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SUMIFS(Лист2!C:C, Лист2!A:A, A114, Лист2!B:B, B114)</f>
        <v>129</v>
      </c>
      <c r="F114" s="7">
        <f>SUMIFS(Лист2!D:D, Лист2!A:A, A114, Лист2!B:B, B114)</f>
        <v>16191</v>
      </c>
      <c r="G114" s="7">
        <f>SUMIFS(Лист2!E:E, Лист2!A:A, A114, Лист2!B:B, B114)</f>
        <v>15102</v>
      </c>
      <c r="H114" s="7">
        <f t="shared" si="0"/>
        <v>210028.09302325582</v>
      </c>
      <c r="I114" s="21">
        <f t="shared" si="2"/>
        <v>21</v>
      </c>
    </row>
    <row r="115" spans="1:9" ht="14.25" customHeight="1" x14ac:dyDescent="0.25">
      <c r="A115" s="9">
        <v>43968</v>
      </c>
      <c r="B115" s="10" t="s">
        <v>14</v>
      </c>
      <c r="C115" s="10">
        <v>269029.5</v>
      </c>
      <c r="D115" s="10">
        <v>26659930.5</v>
      </c>
      <c r="E115" s="7">
        <f>SUMIFS(Лист2!C:C, Лист2!A:A, A115, Лист2!B:B, B115)</f>
        <v>129</v>
      </c>
      <c r="F115" s="7">
        <f>SUMIFS(Лист2!D:D, Лист2!A:A, A115, Лист2!B:B, B115)</f>
        <v>15744</v>
      </c>
      <c r="G115" s="7">
        <f>SUMIFS(Лист2!E:E, Лист2!A:A, A115, Лист2!B:B, B115)</f>
        <v>14685</v>
      </c>
      <c r="H115" s="7">
        <f t="shared" si="0"/>
        <v>206666.12790697673</v>
      </c>
      <c r="I115" s="21">
        <f t="shared" si="2"/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SUMIFS(Лист2!C:C, Лист2!A:A, A116, Лист2!B:B, B116)</f>
        <v>129</v>
      </c>
      <c r="F116" s="7">
        <f>SUMIFS(Лист2!D:D, Лист2!A:A, A116, Лист2!B:B, B116)</f>
        <v>16420</v>
      </c>
      <c r="G116" s="7">
        <f>SUMIFS(Лист2!E:E, Лист2!A:A, A116, Лист2!B:B, B116)</f>
        <v>15169</v>
      </c>
      <c r="H116" s="7">
        <f t="shared" si="0"/>
        <v>230761.23255813954</v>
      </c>
      <c r="I116" s="21">
        <f t="shared" si="2"/>
        <v>19</v>
      </c>
    </row>
    <row r="117" spans="1:9" ht="14.25" customHeight="1" x14ac:dyDescent="0.25">
      <c r="A117" s="9">
        <v>43955</v>
      </c>
      <c r="B117" s="10" t="s">
        <v>14</v>
      </c>
      <c r="C117" s="10">
        <v>283942.5</v>
      </c>
      <c r="D117" s="10">
        <v>29357940</v>
      </c>
      <c r="E117" s="7">
        <f>SUMIFS(Лист2!C:C, Лист2!A:A, A117, Лист2!B:B, B117)</f>
        <v>129</v>
      </c>
      <c r="F117" s="7">
        <f>SUMIFS(Лист2!D:D, Лист2!A:A, A117, Лист2!B:B, B117)</f>
        <v>16525</v>
      </c>
      <c r="G117" s="7">
        <f>SUMIFS(Лист2!E:E, Лист2!A:A, A117, Лист2!B:B, B117)</f>
        <v>15310</v>
      </c>
      <c r="H117" s="7">
        <f t="shared" si="0"/>
        <v>227580.93023255814</v>
      </c>
      <c r="I117" s="21">
        <f t="shared" si="2"/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SUMIFS(Лист2!C:C, Лист2!A:A, A118, Лист2!B:B, B118)</f>
        <v>128</v>
      </c>
      <c r="F118" s="7">
        <f>SUMIFS(Лист2!D:D, Лист2!A:A, A118, Лист2!B:B, B118)</f>
        <v>17368</v>
      </c>
      <c r="G118" s="7">
        <f>SUMIFS(Лист2!E:E, Лист2!A:A, A118, Лист2!B:B, B118)</f>
        <v>16077</v>
      </c>
      <c r="H118" s="7">
        <f t="shared" si="0"/>
        <v>241166.30859375</v>
      </c>
      <c r="I118" s="21">
        <f t="shared" si="2"/>
        <v>18</v>
      </c>
    </row>
    <row r="119" spans="1:9" ht="14.25" customHeight="1" x14ac:dyDescent="0.25">
      <c r="A119" s="9">
        <v>43953</v>
      </c>
      <c r="B119" s="10" t="s">
        <v>14</v>
      </c>
      <c r="C119" s="10">
        <v>232903.5</v>
      </c>
      <c r="D119" s="10">
        <v>24342016.5</v>
      </c>
      <c r="E119" s="7">
        <f>SUMIFS(Лист2!C:C, Лист2!A:A, A119, Лист2!B:B, B119)</f>
        <v>129</v>
      </c>
      <c r="F119" s="7">
        <f>SUMIFS(Лист2!D:D, Лист2!A:A, A119, Лист2!B:B, B119)</f>
        <v>14009</v>
      </c>
      <c r="G119" s="7">
        <f>SUMIFS(Лист2!E:E, Лист2!A:A, A119, Лист2!B:B, B119)</f>
        <v>12920</v>
      </c>
      <c r="H119" s="7">
        <f t="shared" si="0"/>
        <v>188697.8023255814</v>
      </c>
      <c r="I119" s="21">
        <f t="shared" si="2"/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SUMIFS(Лист2!C:C, Лист2!A:A, A120, Лист2!B:B, B120)</f>
        <v>129</v>
      </c>
      <c r="F120" s="7">
        <f>SUMIFS(Лист2!D:D, Лист2!A:A, A120, Лист2!B:B, B120)</f>
        <v>16459</v>
      </c>
      <c r="G120" s="7">
        <f>SUMIFS(Лист2!E:E, Лист2!A:A, A120, Лист2!B:B, B120)</f>
        <v>15355</v>
      </c>
      <c r="H120" s="7">
        <f t="shared" si="0"/>
        <v>216066.80541744188</v>
      </c>
      <c r="I120" s="21">
        <f t="shared" si="2"/>
        <v>22</v>
      </c>
    </row>
    <row r="121" spans="1:9" ht="14.25" customHeight="1" x14ac:dyDescent="0.25">
      <c r="A121" s="9">
        <v>43952</v>
      </c>
      <c r="B121" s="10" t="s">
        <v>14</v>
      </c>
      <c r="C121" s="10">
        <v>296149.5</v>
      </c>
      <c r="D121" s="10">
        <v>31053316.5</v>
      </c>
      <c r="E121" s="7">
        <f>SUMIFS(Лист2!C:C, Лист2!A:A, A121, Лист2!B:B, B121)</f>
        <v>129</v>
      </c>
      <c r="F121" s="7">
        <f>SUMIFS(Лист2!D:D, Лист2!A:A, A121, Лист2!B:B, B121)</f>
        <v>17002</v>
      </c>
      <c r="G121" s="7">
        <f>SUMIFS(Лист2!E:E, Лист2!A:A, A121, Лист2!B:B, B121)</f>
        <v>15570</v>
      </c>
      <c r="H121" s="7">
        <f t="shared" si="0"/>
        <v>240723.38372093023</v>
      </c>
      <c r="I121" s="21">
        <f t="shared" si="2"/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SUMIFS(Лист2!C:C, Лист2!A:A, A122, Лист2!B:B, B122)</f>
        <v>129</v>
      </c>
      <c r="F122" s="7">
        <f>SUMIFS(Лист2!D:D, Лист2!A:A, A122, Лист2!B:B, B122)</f>
        <v>16387</v>
      </c>
      <c r="G122" s="7">
        <f>SUMIFS(Лист2!E:E, Лист2!A:A, A122, Лист2!B:B, B122)</f>
        <v>15322</v>
      </c>
      <c r="H122" s="7">
        <f t="shared" si="0"/>
        <v>225135.81395348837</v>
      </c>
      <c r="I122" s="21">
        <f t="shared" si="2"/>
        <v>20</v>
      </c>
    </row>
    <row r="123" spans="1:9" ht="14.25" customHeight="1" x14ac:dyDescent="0.25">
      <c r="A123" s="9">
        <v>43972</v>
      </c>
      <c r="B123" s="10" t="s">
        <v>14</v>
      </c>
      <c r="C123" s="10">
        <v>288936</v>
      </c>
      <c r="D123" s="10">
        <v>27852900</v>
      </c>
      <c r="E123" s="7">
        <f>SUMIFS(Лист2!C:C, Лист2!A:A, A123, Лист2!B:B, B123)</f>
        <v>129</v>
      </c>
      <c r="F123" s="7">
        <f>SUMIFS(Лист2!D:D, Лист2!A:A, A123, Лист2!B:B, B123)</f>
        <v>16373</v>
      </c>
      <c r="G123" s="7">
        <f>SUMIFS(Лист2!E:E, Лист2!A:A, A123, Лист2!B:B, B123)</f>
        <v>15223</v>
      </c>
      <c r="H123" s="7">
        <f t="shared" si="0"/>
        <v>215913.95348837209</v>
      </c>
      <c r="I123" s="21">
        <f t="shared" si="2"/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SUMIFS(Лист2!C:C, Лист2!A:A, A124, Лист2!B:B, B124)</f>
        <v>129</v>
      </c>
      <c r="F124" s="7">
        <f>SUMIFS(Лист2!D:D, Лист2!A:A, A124, Лист2!B:B, B124)</f>
        <v>17095</v>
      </c>
      <c r="G124" s="7">
        <f>SUMIFS(Лист2!E:E, Лист2!A:A, A124, Лист2!B:B, B124)</f>
        <v>15919</v>
      </c>
      <c r="H124" s="7">
        <f t="shared" si="0"/>
        <v>227664.8962593023</v>
      </c>
      <c r="I124" s="21">
        <f t="shared" si="2"/>
        <v>21</v>
      </c>
    </row>
    <row r="125" spans="1:9" ht="14.25" customHeight="1" x14ac:dyDescent="0.25">
      <c r="A125" s="9">
        <v>43956</v>
      </c>
      <c r="B125" s="10" t="s">
        <v>14</v>
      </c>
      <c r="C125" s="10">
        <v>262734</v>
      </c>
      <c r="D125" s="10">
        <v>27278441.145</v>
      </c>
      <c r="E125" s="7">
        <f>SUMIFS(Лист2!C:C, Лист2!A:A, A125, Лист2!B:B, B125)</f>
        <v>129</v>
      </c>
      <c r="F125" s="7">
        <f>SUMIFS(Лист2!D:D, Лист2!A:A, A125, Лист2!B:B, B125)</f>
        <v>15665</v>
      </c>
      <c r="G125" s="7">
        <f>SUMIFS(Лист2!E:E, Лист2!A:A, A125, Лист2!B:B, B125)</f>
        <v>14501</v>
      </c>
      <c r="H125" s="7">
        <f t="shared" si="0"/>
        <v>211460.78406976743</v>
      </c>
      <c r="I125" s="21">
        <f t="shared" si="2"/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SUMIFS(Лист2!C:C, Лист2!A:A, A126, Лист2!B:B, B126)</f>
        <v>128</v>
      </c>
      <c r="F126" s="7">
        <f>SUMIFS(Лист2!D:D, Лист2!A:A, A126, Лист2!B:B, B126)</f>
        <v>16450</v>
      </c>
      <c r="G126" s="7">
        <f>SUMIFS(Лист2!E:E, Лист2!A:A, A126, Лист2!B:B, B126)</f>
        <v>15320</v>
      </c>
      <c r="H126" s="7">
        <f t="shared" si="0"/>
        <v>227804.94140625</v>
      </c>
      <c r="I126" s="21">
        <f t="shared" si="2"/>
        <v>18</v>
      </c>
    </row>
    <row r="127" spans="1:9" ht="14.25" customHeight="1" x14ac:dyDescent="0.25">
      <c r="A127" s="9">
        <v>43964</v>
      </c>
      <c r="B127" s="10" t="s">
        <v>14</v>
      </c>
      <c r="C127" s="10">
        <v>258459</v>
      </c>
      <c r="D127" s="10">
        <v>26467453.5</v>
      </c>
      <c r="E127" s="7">
        <f>SUMIFS(Лист2!C:C, Лист2!A:A, A127, Лист2!B:B, B127)</f>
        <v>129</v>
      </c>
      <c r="F127" s="7">
        <f>SUMIFS(Лист2!D:D, Лист2!A:A, A127, Лист2!B:B, B127)</f>
        <v>15304</v>
      </c>
      <c r="G127" s="7">
        <f>SUMIFS(Лист2!E:E, Лист2!A:A, A127, Лист2!B:B, B127)</f>
        <v>14315</v>
      </c>
      <c r="H127" s="7">
        <f t="shared" si="0"/>
        <v>205174.05813953487</v>
      </c>
      <c r="I127" s="21">
        <f t="shared" si="2"/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SUMIFS(Лист2!C:C, Лист2!A:A, A128, Лист2!B:B, B128)</f>
        <v>129</v>
      </c>
      <c r="F128" s="7">
        <f>SUMIFS(Лист2!D:D, Лист2!A:A, A128, Лист2!B:B, B128)</f>
        <v>15778</v>
      </c>
      <c r="G128" s="7">
        <f>SUMIFS(Лист2!E:E, Лист2!A:A, A128, Лист2!B:B, B128)</f>
        <v>14624</v>
      </c>
      <c r="H128" s="7">
        <f t="shared" si="0"/>
        <v>220364.34883720931</v>
      </c>
      <c r="I128" s="21">
        <f t="shared" si="2"/>
        <v>18</v>
      </c>
    </row>
    <row r="129" spans="1:9" ht="14.25" customHeight="1" x14ac:dyDescent="0.25">
      <c r="A129" s="9">
        <v>43957</v>
      </c>
      <c r="B129" s="10" t="s">
        <v>14</v>
      </c>
      <c r="C129" s="10">
        <v>277512</v>
      </c>
      <c r="D129" s="10">
        <v>28770810.105599999</v>
      </c>
      <c r="E129" s="7">
        <f>SUMIFS(Лист2!C:C, Лист2!A:A, A129, Лист2!B:B, B129)</f>
        <v>129</v>
      </c>
      <c r="F129" s="7">
        <f>SUMIFS(Лист2!D:D, Лист2!A:A, A129, Лист2!B:B, B129)</f>
        <v>16376</v>
      </c>
      <c r="G129" s="7">
        <f>SUMIFS(Лист2!E:E, Лист2!A:A, A129, Лист2!B:B, B129)</f>
        <v>15197</v>
      </c>
      <c r="H129" s="7">
        <f t="shared" si="0"/>
        <v>223029.53570232558</v>
      </c>
      <c r="I129" s="21">
        <f t="shared" si="2"/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SUMIFS(Лист2!C:C, Лист2!A:A, A130, Лист2!B:B, B130)</f>
        <v>129</v>
      </c>
      <c r="F130" s="7">
        <f>SUMIFS(Лист2!D:D, Лист2!A:A, A130, Лист2!B:B, B130)</f>
        <v>19856</v>
      </c>
      <c r="G130" s="7">
        <f>SUMIFS(Лист2!E:E, Лист2!A:A, A130, Лист2!B:B, B130)</f>
        <v>18325</v>
      </c>
      <c r="H130" s="7">
        <f t="shared" si="0"/>
        <v>272123.46288023255</v>
      </c>
      <c r="I130" s="21">
        <f t="shared" si="2"/>
        <v>21</v>
      </c>
    </row>
    <row r="131" spans="1:9" ht="14.25" customHeight="1" x14ac:dyDescent="0.25">
      <c r="A131" s="9">
        <v>43976</v>
      </c>
      <c r="B131" s="10" t="s">
        <v>14</v>
      </c>
      <c r="C131" s="10">
        <v>266983.5</v>
      </c>
      <c r="D131" s="10">
        <v>27165913.5</v>
      </c>
      <c r="E131" s="7">
        <f>SUMIFS(Лист2!C:C, Лист2!A:A, A131, Лист2!B:B, B131)</f>
        <v>129</v>
      </c>
      <c r="F131" s="7">
        <f>SUMIFS(Лист2!D:D, Лист2!A:A, A131, Лист2!B:B, B131)</f>
        <v>15822</v>
      </c>
      <c r="G131" s="7">
        <f>SUMIFS(Лист2!E:E, Лист2!A:A, A131, Лист2!B:B, B131)</f>
        <v>14753</v>
      </c>
      <c r="H131" s="7">
        <f t="shared" si="0"/>
        <v>210588.47674418605</v>
      </c>
      <c r="I131" s="21">
        <f t="shared" ref="I131:I194" si="3">_xlfn.ISOWEEKNUM(A131)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SUMIFS(Лист2!C:C, Лист2!A:A, A132, Лист2!B:B, B132)</f>
        <v>129</v>
      </c>
      <c r="F132" s="7">
        <f>SUMIFS(Лист2!D:D, Лист2!A:A, A132, Лист2!B:B, B132)</f>
        <v>18042</v>
      </c>
      <c r="G132" s="7">
        <f>SUMIFS(Лист2!E:E, Лист2!A:A, A132, Лист2!B:B, B132)</f>
        <v>16631</v>
      </c>
      <c r="H132" s="7">
        <f t="shared" si="0"/>
        <v>251309.13953488372</v>
      </c>
      <c r="I132" s="21">
        <f t="shared" si="3"/>
        <v>18</v>
      </c>
    </row>
    <row r="133" spans="1:9" ht="14.25" customHeight="1" x14ac:dyDescent="0.25">
      <c r="A133" s="9">
        <v>43961</v>
      </c>
      <c r="B133" s="10" t="s">
        <v>14</v>
      </c>
      <c r="C133" s="10">
        <v>287206.5</v>
      </c>
      <c r="D133" s="10">
        <v>29536176.10605</v>
      </c>
      <c r="E133" s="7">
        <f>SUMIFS(Лист2!C:C, Лист2!A:A, A133, Лист2!B:B, B133)</f>
        <v>129</v>
      </c>
      <c r="F133" s="7">
        <f>SUMIFS(Лист2!D:D, Лист2!A:A, A133, Лист2!B:B, B133)</f>
        <v>16437</v>
      </c>
      <c r="G133" s="7">
        <f>SUMIFS(Лист2!E:E, Лист2!A:A, A133, Лист2!B:B, B133)</f>
        <v>15285</v>
      </c>
      <c r="H133" s="7">
        <f t="shared" si="0"/>
        <v>228962.6054732558</v>
      </c>
      <c r="I133" s="21">
        <f t="shared" si="3"/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SUMIFS(Лист2!C:C, Лист2!A:A, A134, Лист2!B:B, B134)</f>
        <v>129</v>
      </c>
      <c r="F134" s="7">
        <f>SUMIFS(Лист2!D:D, Лист2!A:A, A134, Лист2!B:B, B134)</f>
        <v>20452</v>
      </c>
      <c r="G134" s="7">
        <f>SUMIFS(Лист2!E:E, Лист2!A:A, A134, Лист2!B:B, B134)</f>
        <v>18857</v>
      </c>
      <c r="H134" s="7">
        <f t="shared" si="0"/>
        <v>295283.38372093026</v>
      </c>
      <c r="I134" s="21">
        <f t="shared" si="3"/>
        <v>19</v>
      </c>
    </row>
    <row r="135" spans="1:9" ht="14.25" customHeight="1" x14ac:dyDescent="0.25">
      <c r="A135" s="9">
        <v>43958</v>
      </c>
      <c r="B135" s="10" t="s">
        <v>14</v>
      </c>
      <c r="C135" s="10">
        <v>247813.5</v>
      </c>
      <c r="D135" s="10">
        <v>25325271</v>
      </c>
      <c r="E135" s="7">
        <f>SUMIFS(Лист2!C:C, Лист2!A:A, A135, Лист2!B:B, B135)</f>
        <v>129</v>
      </c>
      <c r="F135" s="7">
        <f>SUMIFS(Лист2!D:D, Лист2!A:A, A135, Лист2!B:B, B135)</f>
        <v>14582</v>
      </c>
      <c r="G135" s="7">
        <f>SUMIFS(Лист2!E:E, Лист2!A:A, A135, Лист2!B:B, B135)</f>
        <v>13512</v>
      </c>
      <c r="H135" s="7">
        <f t="shared" si="0"/>
        <v>196319.93023255814</v>
      </c>
      <c r="I135" s="21">
        <f t="shared" si="3"/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SUMIFS(Лист2!C:C, Лист2!A:A, A136, Лист2!B:B, B136)</f>
        <v>129</v>
      </c>
      <c r="F136" s="7">
        <f>SUMIFS(Лист2!D:D, Лист2!A:A, A136, Лист2!B:B, B136)</f>
        <v>16432</v>
      </c>
      <c r="G136" s="7">
        <f>SUMIFS(Лист2!E:E, Лист2!A:A, A136, Лист2!B:B, B136)</f>
        <v>15345</v>
      </c>
      <c r="H136" s="7">
        <f t="shared" si="0"/>
        <v>218515.76744186046</v>
      </c>
      <c r="I136" s="21">
        <f t="shared" si="3"/>
        <v>21</v>
      </c>
    </row>
    <row r="137" spans="1:9" ht="14.25" customHeight="1" x14ac:dyDescent="0.25">
      <c r="A137" s="9">
        <v>43967</v>
      </c>
      <c r="B137" s="10" t="s">
        <v>15</v>
      </c>
      <c r="C137" s="10">
        <v>408810</v>
      </c>
      <c r="D137" s="10">
        <v>42323631</v>
      </c>
      <c r="E137" s="7">
        <f>SUMIFS(Лист2!C:C, Лист2!A:A, A137, Лист2!B:B, B137)</f>
        <v>125</v>
      </c>
      <c r="F137" s="7">
        <f>SUMIFS(Лист2!D:D, Лист2!A:A, A137, Лист2!B:B, B137)</f>
        <v>22291</v>
      </c>
      <c r="G137" s="7">
        <f>SUMIFS(Лист2!E:E, Лист2!A:A, A137, Лист2!B:B, B137)</f>
        <v>20635</v>
      </c>
      <c r="H137" s="7">
        <f t="shared" si="0"/>
        <v>338589.04800000001</v>
      </c>
      <c r="I137" s="21">
        <f t="shared" si="3"/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SUMIFS(Лист2!C:C, Лист2!A:A, A138, Лист2!B:B, B138)</f>
        <v>125</v>
      </c>
      <c r="F138" s="7">
        <f>SUMIFS(Лист2!D:D, Лист2!A:A, A138, Лист2!B:B, B138)</f>
        <v>20771</v>
      </c>
      <c r="G138" s="7">
        <f>SUMIFS(Лист2!E:E, Лист2!A:A, A138, Лист2!B:B, B138)</f>
        <v>19338</v>
      </c>
      <c r="H138" s="7">
        <f t="shared" si="0"/>
        <v>296185.94400000002</v>
      </c>
      <c r="I138" s="21">
        <f t="shared" si="3"/>
        <v>21</v>
      </c>
    </row>
    <row r="139" spans="1:9" ht="14.25" customHeight="1" x14ac:dyDescent="0.25">
      <c r="A139" s="9">
        <v>43968</v>
      </c>
      <c r="B139" s="10" t="s">
        <v>15</v>
      </c>
      <c r="C139" s="10">
        <v>357072</v>
      </c>
      <c r="D139" s="10">
        <v>36834567</v>
      </c>
      <c r="E139" s="7">
        <f>SUMIFS(Лист2!C:C, Лист2!A:A, A139, Лист2!B:B, B139)</f>
        <v>125</v>
      </c>
      <c r="F139" s="7">
        <f>SUMIFS(Лист2!D:D, Лист2!A:A, A139, Лист2!B:B, B139)</f>
        <v>20079</v>
      </c>
      <c r="G139" s="7">
        <f>SUMIFS(Лист2!E:E, Лист2!A:A, A139, Лист2!B:B, B139)</f>
        <v>18721</v>
      </c>
      <c r="H139" s="7">
        <f t="shared" si="0"/>
        <v>294676.53600000002</v>
      </c>
      <c r="I139" s="21">
        <f t="shared" si="3"/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SUMIFS(Лист2!C:C, Лист2!A:A, A140, Лист2!B:B, B140)</f>
        <v>125</v>
      </c>
      <c r="F140" s="7">
        <f>SUMIFS(Лист2!D:D, Лист2!A:A, A140, Лист2!B:B, B140)</f>
        <v>20132</v>
      </c>
      <c r="G140" s="7">
        <f>SUMIFS(Лист2!E:E, Лист2!A:A, A140, Лист2!B:B, B140)</f>
        <v>18617</v>
      </c>
      <c r="H140" s="7">
        <f t="shared" si="0"/>
        <v>309547.41600000003</v>
      </c>
      <c r="I140" s="21">
        <f t="shared" si="3"/>
        <v>19</v>
      </c>
    </row>
    <row r="141" spans="1:9" ht="14.25" customHeight="1" x14ac:dyDescent="0.25">
      <c r="A141" s="9">
        <v>43955</v>
      </c>
      <c r="B141" s="10" t="s">
        <v>15</v>
      </c>
      <c r="C141" s="10">
        <v>360255</v>
      </c>
      <c r="D141" s="10">
        <v>38406954</v>
      </c>
      <c r="E141" s="7">
        <f>SUMIFS(Лист2!C:C, Лист2!A:A, A141, Лист2!B:B, B141)</f>
        <v>125</v>
      </c>
      <c r="F141" s="7">
        <f>SUMIFS(Лист2!D:D, Лист2!A:A, A141, Лист2!B:B, B141)</f>
        <v>20495</v>
      </c>
      <c r="G141" s="7">
        <f>SUMIFS(Лист2!E:E, Лист2!A:A, A141, Лист2!B:B, B141)</f>
        <v>18964</v>
      </c>
      <c r="H141" s="7">
        <f t="shared" si="0"/>
        <v>307255.63199999998</v>
      </c>
      <c r="I141" s="21">
        <f t="shared" si="3"/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SUMIFS(Лист2!C:C, Лист2!A:A, A142, Лист2!B:B, B142)</f>
        <v>125</v>
      </c>
      <c r="F142" s="7">
        <f>SUMIFS(Лист2!D:D, Лист2!A:A, A142, Лист2!B:B, B142)</f>
        <v>21863</v>
      </c>
      <c r="G142" s="7">
        <f>SUMIFS(Лист2!E:E, Лист2!A:A, A142, Лист2!B:B, B142)</f>
        <v>20160</v>
      </c>
      <c r="H142" s="7">
        <f t="shared" si="0"/>
        <v>332475.07199999999</v>
      </c>
      <c r="I142" s="21">
        <f t="shared" si="3"/>
        <v>18</v>
      </c>
    </row>
    <row r="143" spans="1:9" ht="14.25" customHeight="1" x14ac:dyDescent="0.25">
      <c r="A143" s="9">
        <v>43953</v>
      </c>
      <c r="B143" s="10" t="s">
        <v>15</v>
      </c>
      <c r="C143" s="10">
        <v>296580</v>
      </c>
      <c r="D143" s="10">
        <v>31843737</v>
      </c>
      <c r="E143" s="7">
        <f>SUMIFS(Лист2!C:C, Лист2!A:A, A143, Лист2!B:B, B143)</f>
        <v>125</v>
      </c>
      <c r="F143" s="7">
        <f>SUMIFS(Лист2!D:D, Лист2!A:A, A143, Лист2!B:B, B143)</f>
        <v>16932</v>
      </c>
      <c r="G143" s="7">
        <f>SUMIFS(Лист2!E:E, Лист2!A:A, A143, Лист2!B:B, B143)</f>
        <v>15601</v>
      </c>
      <c r="H143" s="7">
        <f t="shared" si="0"/>
        <v>254749.89600000001</v>
      </c>
      <c r="I143" s="21">
        <f t="shared" si="3"/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SUMIFS(Лист2!C:C, Лист2!A:A, A144, Лист2!B:B, B144)</f>
        <v>124</v>
      </c>
      <c r="F144" s="7">
        <f>SUMIFS(Лист2!D:D, Лист2!A:A, A144, Лист2!B:B, B144)</f>
        <v>21153</v>
      </c>
      <c r="G144" s="7">
        <f>SUMIFS(Лист2!E:E, Лист2!A:A, A144, Лист2!B:B, B144)</f>
        <v>19673</v>
      </c>
      <c r="H144" s="7">
        <f t="shared" si="0"/>
        <v>309402.90725806454</v>
      </c>
      <c r="I144" s="21">
        <f t="shared" si="3"/>
        <v>22</v>
      </c>
    </row>
    <row r="145" spans="1:9" ht="14.25" customHeight="1" x14ac:dyDescent="0.25">
      <c r="A145" s="9">
        <v>43952</v>
      </c>
      <c r="B145" s="10" t="s">
        <v>15</v>
      </c>
      <c r="C145" s="10">
        <v>372504</v>
      </c>
      <c r="D145" s="10">
        <v>40077193.5</v>
      </c>
      <c r="E145" s="7">
        <f>SUMIFS(Лист2!C:C, Лист2!A:A, A145, Лист2!B:B, B145)</f>
        <v>125</v>
      </c>
      <c r="F145" s="7">
        <f>SUMIFS(Лист2!D:D, Лист2!A:A, A145, Лист2!B:B, B145)</f>
        <v>20602</v>
      </c>
      <c r="G145" s="7">
        <f>SUMIFS(Лист2!E:E, Лист2!A:A, A145, Лист2!B:B, B145)</f>
        <v>18845</v>
      </c>
      <c r="H145" s="7">
        <f t="shared" si="0"/>
        <v>320617.54800000001</v>
      </c>
      <c r="I145" s="21">
        <f t="shared" si="3"/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SUMIFS(Лист2!C:C, Лист2!A:A, A146, Лист2!B:B, B146)</f>
        <v>125</v>
      </c>
      <c r="F146" s="7">
        <f>SUMIFS(Лист2!D:D, Лист2!A:A, A146, Лист2!B:B, B146)</f>
        <v>21106</v>
      </c>
      <c r="G146" s="7">
        <f>SUMIFS(Лист2!E:E, Лист2!A:A, A146, Лист2!B:B, B146)</f>
        <v>19651</v>
      </c>
      <c r="H146" s="7">
        <f t="shared" si="0"/>
        <v>316628.61599999998</v>
      </c>
      <c r="I146" s="21">
        <f t="shared" si="3"/>
        <v>20</v>
      </c>
    </row>
    <row r="147" spans="1:9" ht="14.25" customHeight="1" x14ac:dyDescent="0.25">
      <c r="A147" s="9">
        <v>43972</v>
      </c>
      <c r="B147" s="10" t="s">
        <v>15</v>
      </c>
      <c r="C147" s="10">
        <v>378043.5</v>
      </c>
      <c r="D147" s="10">
        <v>37902156.57</v>
      </c>
      <c r="E147" s="7">
        <f>SUMIFS(Лист2!C:C, Лист2!A:A, A147, Лист2!B:B, B147)</f>
        <v>125</v>
      </c>
      <c r="F147" s="7">
        <f>SUMIFS(Лист2!D:D, Лист2!A:A, A147, Лист2!B:B, B147)</f>
        <v>20911</v>
      </c>
      <c r="G147" s="7">
        <f>SUMIFS(Лист2!E:E, Лист2!A:A, A147, Лист2!B:B, B147)</f>
        <v>19358</v>
      </c>
      <c r="H147" s="7">
        <f t="shared" si="0"/>
        <v>303217.25255999999</v>
      </c>
      <c r="I147" s="21">
        <f t="shared" si="3"/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SUMIFS(Лист2!C:C, Лист2!A:A, A148, Лист2!B:B, B148)</f>
        <v>125</v>
      </c>
      <c r="F148" s="7">
        <f>SUMIFS(Лист2!D:D, Лист2!A:A, A148, Лист2!B:B, B148)</f>
        <v>21674</v>
      </c>
      <c r="G148" s="7">
        <f>SUMIFS(Лист2!E:E, Лист2!A:A, A148, Лист2!B:B, B148)</f>
        <v>20155</v>
      </c>
      <c r="H148" s="7">
        <f t="shared" si="0"/>
        <v>317114.47200000001</v>
      </c>
      <c r="I148" s="21">
        <f t="shared" si="3"/>
        <v>21</v>
      </c>
    </row>
    <row r="149" spans="1:9" ht="14.25" customHeight="1" x14ac:dyDescent="0.25">
      <c r="A149" s="9">
        <v>43956</v>
      </c>
      <c r="B149" s="10" t="s">
        <v>15</v>
      </c>
      <c r="C149" s="10">
        <v>333792</v>
      </c>
      <c r="D149" s="10">
        <v>35671734</v>
      </c>
      <c r="E149" s="7">
        <f>SUMIFS(Лист2!C:C, Лист2!A:A, A149, Лист2!B:B, B149)</f>
        <v>125</v>
      </c>
      <c r="F149" s="7">
        <f>SUMIFS(Лист2!D:D, Лист2!A:A, A149, Лист2!B:B, B149)</f>
        <v>18944</v>
      </c>
      <c r="G149" s="7">
        <f>SUMIFS(Лист2!E:E, Лист2!A:A, A149, Лист2!B:B, B149)</f>
        <v>17541</v>
      </c>
      <c r="H149" s="7">
        <f t="shared" si="0"/>
        <v>285373.87199999997</v>
      </c>
      <c r="I149" s="21">
        <f t="shared" si="3"/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SUMIFS(Лист2!C:C, Лист2!A:A, A150, Лист2!B:B, B150)</f>
        <v>125</v>
      </c>
      <c r="F150" s="7">
        <f>SUMIFS(Лист2!D:D, Лист2!A:A, A150, Лист2!B:B, B150)</f>
        <v>20914</v>
      </c>
      <c r="G150" s="7">
        <f>SUMIFS(Лист2!E:E, Лист2!A:A, A150, Лист2!B:B, B150)</f>
        <v>19479</v>
      </c>
      <c r="H150" s="7">
        <f t="shared" si="0"/>
        <v>319344.228</v>
      </c>
      <c r="I150" s="21">
        <f t="shared" si="3"/>
        <v>18</v>
      </c>
    </row>
    <row r="151" spans="1:9" ht="14.25" customHeight="1" x14ac:dyDescent="0.25">
      <c r="A151" s="9">
        <v>43964</v>
      </c>
      <c r="B151" s="10" t="s">
        <v>15</v>
      </c>
      <c r="C151" s="10">
        <v>350068.5</v>
      </c>
      <c r="D151" s="10">
        <v>37197115.5</v>
      </c>
      <c r="E151" s="7">
        <f>SUMIFS(Лист2!C:C, Лист2!A:A, A151, Лист2!B:B, B151)</f>
        <v>125</v>
      </c>
      <c r="F151" s="7">
        <f>SUMIFS(Лист2!D:D, Лист2!A:A, A151, Лист2!B:B, B151)</f>
        <v>19965</v>
      </c>
      <c r="G151" s="7">
        <f>SUMIFS(Лист2!E:E, Лист2!A:A, A151, Лист2!B:B, B151)</f>
        <v>18573</v>
      </c>
      <c r="H151" s="7">
        <f t="shared" si="0"/>
        <v>297576.924</v>
      </c>
      <c r="I151" s="21">
        <f t="shared" si="3"/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SUMIFS(Лист2!C:C, Лист2!A:A, A152, Лист2!B:B, B152)</f>
        <v>129</v>
      </c>
      <c r="F152" s="7">
        <f>SUMIFS(Лист2!D:D, Лист2!A:A, A152, Лист2!B:B, B152)</f>
        <v>17235</v>
      </c>
      <c r="G152" s="7">
        <f>SUMIFS(Лист2!E:E, Лист2!A:A, A152, Лист2!B:B, B152)</f>
        <v>16052</v>
      </c>
      <c r="H152" s="7">
        <f t="shared" si="0"/>
        <v>227347.02325581395</v>
      </c>
      <c r="I152" s="21">
        <f t="shared" si="3"/>
        <v>22</v>
      </c>
    </row>
    <row r="153" spans="1:9" ht="14.25" customHeight="1" x14ac:dyDescent="0.25">
      <c r="A153" s="9">
        <v>43954</v>
      </c>
      <c r="B153" s="10" t="s">
        <v>15</v>
      </c>
      <c r="C153" s="10">
        <v>342666</v>
      </c>
      <c r="D153" s="10">
        <v>36631999.5</v>
      </c>
      <c r="E153" s="7">
        <f>SUMIFS(Лист2!C:C, Лист2!A:A, A153, Лист2!B:B, B153)</f>
        <v>125</v>
      </c>
      <c r="F153" s="7">
        <f>SUMIFS(Лист2!D:D, Лист2!A:A, A153, Лист2!B:B, B153)</f>
        <v>18861</v>
      </c>
      <c r="G153" s="7">
        <f>SUMIFS(Лист2!E:E, Лист2!A:A, A153, Лист2!B:B, B153)</f>
        <v>17420</v>
      </c>
      <c r="H153" s="7">
        <f t="shared" si="0"/>
        <v>293055.99599999998</v>
      </c>
      <c r="I153" s="21">
        <f t="shared" si="3"/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SUMIFS(Лист2!C:C, Лист2!A:A, A154, Лист2!B:B, B154)</f>
        <v>129</v>
      </c>
      <c r="F154" s="7">
        <f>SUMIFS(Лист2!D:D, Лист2!A:A, A154, Лист2!B:B, B154)</f>
        <v>20243</v>
      </c>
      <c r="G154" s="7">
        <f>SUMIFS(Лист2!E:E, Лист2!A:A, A154, Лист2!B:B, B154)</f>
        <v>18711</v>
      </c>
      <c r="H154" s="7">
        <f t="shared" si="0"/>
        <v>276934.0581395349</v>
      </c>
      <c r="I154" s="21">
        <f t="shared" si="3"/>
        <v>22</v>
      </c>
    </row>
    <row r="155" spans="1:9" ht="14.25" customHeight="1" x14ac:dyDescent="0.25">
      <c r="A155" s="9">
        <v>43957</v>
      </c>
      <c r="B155" s="10" t="s">
        <v>15</v>
      </c>
      <c r="C155" s="10">
        <v>355278</v>
      </c>
      <c r="D155" s="10">
        <v>38092344</v>
      </c>
      <c r="E155" s="7">
        <f>SUMIFS(Лист2!C:C, Лист2!A:A, A155, Лист2!B:B, B155)</f>
        <v>125</v>
      </c>
      <c r="F155" s="7">
        <f>SUMIFS(Лист2!D:D, Лист2!A:A, A155, Лист2!B:B, B155)</f>
        <v>20218</v>
      </c>
      <c r="G155" s="7">
        <f>SUMIFS(Лист2!E:E, Лист2!A:A, A155, Лист2!B:B, B155)</f>
        <v>18647</v>
      </c>
      <c r="H155" s="7">
        <f t="shared" si="0"/>
        <v>304738.75199999998</v>
      </c>
      <c r="I155" s="21">
        <f t="shared" si="3"/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SUMIFS(Лист2!C:C, Лист2!A:A, A156, Лист2!B:B, B156)</f>
        <v>125</v>
      </c>
      <c r="F156" s="7">
        <f>SUMIFS(Лист2!D:D, Лист2!A:A, A156, Лист2!B:B, B156)</f>
        <v>24574</v>
      </c>
      <c r="G156" s="7">
        <f>SUMIFS(Лист2!E:E, Лист2!A:A, A156, Лист2!B:B, B156)</f>
        <v>22609</v>
      </c>
      <c r="H156" s="7">
        <f t="shared" si="0"/>
        <v>371264.64</v>
      </c>
      <c r="I156" s="21">
        <f t="shared" si="3"/>
        <v>21</v>
      </c>
    </row>
    <row r="157" spans="1:9" ht="14.25" customHeight="1" x14ac:dyDescent="0.25">
      <c r="A157" s="9">
        <v>43979</v>
      </c>
      <c r="B157" s="10" t="s">
        <v>14</v>
      </c>
      <c r="C157" s="10">
        <v>278491.5</v>
      </c>
      <c r="D157" s="10">
        <v>28151004.75</v>
      </c>
      <c r="E157" s="7">
        <f>SUMIFS(Лист2!C:C, Лист2!A:A, A157, Лист2!B:B, B157)</f>
        <v>129</v>
      </c>
      <c r="F157" s="7">
        <f>SUMIFS(Лист2!D:D, Лист2!A:A, A157, Лист2!B:B, B157)</f>
        <v>16453</v>
      </c>
      <c r="G157" s="7">
        <f>SUMIFS(Лист2!E:E, Лист2!A:A, A157, Лист2!B:B, B157)</f>
        <v>15289</v>
      </c>
      <c r="H157" s="7">
        <f t="shared" si="0"/>
        <v>218224.84302325582</v>
      </c>
      <c r="I157" s="21">
        <f t="shared" si="3"/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SUMIFS(Лист2!C:C, Лист2!A:A, A158, Лист2!B:B, B158)</f>
        <v>124</v>
      </c>
      <c r="F158" s="7">
        <f>SUMIFS(Лист2!D:D, Лист2!A:A, A158, Лист2!B:B, B158)</f>
        <v>20358</v>
      </c>
      <c r="G158" s="7">
        <f>SUMIFS(Лист2!E:E, Лист2!A:A, A158, Лист2!B:B, B158)</f>
        <v>18890</v>
      </c>
      <c r="H158" s="7">
        <f t="shared" si="0"/>
        <v>297447</v>
      </c>
      <c r="I158" s="21">
        <f t="shared" si="3"/>
        <v>22</v>
      </c>
    </row>
    <row r="159" spans="1:9" ht="14.25" customHeight="1" x14ac:dyDescent="0.25">
      <c r="A159" s="9">
        <v>43951</v>
      </c>
      <c r="B159" s="10" t="s">
        <v>15</v>
      </c>
      <c r="C159" s="10">
        <v>401580</v>
      </c>
      <c r="D159" s="10">
        <v>43028734.5</v>
      </c>
      <c r="E159" s="7">
        <f>SUMIFS(Лист2!C:C, Лист2!A:A, A159, Лист2!B:B, B159)</f>
        <v>125</v>
      </c>
      <c r="F159" s="7">
        <f>SUMIFS(Лист2!D:D, Лист2!A:A, A159, Лист2!B:B, B159)</f>
        <v>22368</v>
      </c>
      <c r="G159" s="7">
        <f>SUMIFS(Лист2!E:E, Лист2!A:A, A159, Лист2!B:B, B159)</f>
        <v>20625</v>
      </c>
      <c r="H159" s="7">
        <f t="shared" si="0"/>
        <v>344229.87599999999</v>
      </c>
      <c r="I159" s="21">
        <f t="shared" si="3"/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SUMIFS(Лист2!C:C, Лист2!A:A, A160, Лист2!B:B, B160)</f>
        <v>125</v>
      </c>
      <c r="F160" s="7">
        <f>SUMIFS(Лист2!D:D, Лист2!A:A, A160, Лист2!B:B, B160)</f>
        <v>20368</v>
      </c>
      <c r="G160" s="7">
        <f>SUMIFS(Лист2!E:E, Лист2!A:A, A160, Лист2!B:B, B160)</f>
        <v>18884</v>
      </c>
      <c r="H160" s="7">
        <f t="shared" si="0"/>
        <v>312087</v>
      </c>
      <c r="I160" s="21">
        <f t="shared" si="3"/>
        <v>19</v>
      </c>
    </row>
    <row r="161" spans="1:9" ht="14.25" customHeight="1" x14ac:dyDescent="0.25">
      <c r="A161" s="9">
        <v>43959</v>
      </c>
      <c r="B161" s="10" t="s">
        <v>15</v>
      </c>
      <c r="C161" s="10">
        <v>463530</v>
      </c>
      <c r="D161" s="10">
        <v>49123180.5</v>
      </c>
      <c r="E161" s="7">
        <f>SUMIFS(Лист2!C:C, Лист2!A:A, A161, Лист2!B:B, B161)</f>
        <v>125</v>
      </c>
      <c r="F161" s="7">
        <f>SUMIFS(Лист2!D:D, Лист2!A:A, A161, Лист2!B:B, B161)</f>
        <v>24620</v>
      </c>
      <c r="G161" s="7">
        <f>SUMIFS(Лист2!E:E, Лист2!A:A, A161, Лист2!B:B, B161)</f>
        <v>22641</v>
      </c>
      <c r="H161" s="7">
        <f t="shared" si="0"/>
        <v>392985.44400000002</v>
      </c>
      <c r="I161" s="21">
        <f t="shared" si="3"/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SUMIFS(Лист2!C:C, Лист2!A:A, A162, Лист2!B:B, B162)</f>
        <v>125</v>
      </c>
      <c r="F162" s="7">
        <f>SUMIFS(Лист2!D:D, Лист2!A:A, A162, Лист2!B:B, B162)</f>
        <v>18014</v>
      </c>
      <c r="G162" s="7">
        <f>SUMIFS(Лист2!E:E, Лист2!A:A, A162, Лист2!B:B, B162)</f>
        <v>16675</v>
      </c>
      <c r="H162" s="7">
        <f t="shared" si="0"/>
        <v>270111.91200000001</v>
      </c>
      <c r="I162" s="21">
        <f t="shared" si="3"/>
        <v>19</v>
      </c>
    </row>
    <row r="163" spans="1:9" ht="14.25" customHeight="1" x14ac:dyDescent="0.25">
      <c r="A163" s="9">
        <v>43975</v>
      </c>
      <c r="B163" s="10" t="s">
        <v>15</v>
      </c>
      <c r="C163" s="10">
        <v>375744</v>
      </c>
      <c r="D163" s="10">
        <v>38191381.5</v>
      </c>
      <c r="E163" s="7">
        <f>SUMIFS(Лист2!C:C, Лист2!A:A, A163, Лист2!B:B, B163)</f>
        <v>125</v>
      </c>
      <c r="F163" s="7">
        <f>SUMIFS(Лист2!D:D, Лист2!A:A, A163, Лист2!B:B, B163)</f>
        <v>21004</v>
      </c>
      <c r="G163" s="7">
        <f>SUMIFS(Лист2!E:E, Лист2!A:A, A163, Лист2!B:B, B163)</f>
        <v>19556</v>
      </c>
      <c r="H163" s="7">
        <f t="shared" si="0"/>
        <v>305531.05200000003</v>
      </c>
      <c r="I163" s="21">
        <f t="shared" si="3"/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SUMIFS(Лист2!C:C, Лист2!A:A, A164, Лист2!B:B, B164)</f>
        <v>36</v>
      </c>
      <c r="F164" s="7">
        <f>SUMIFS(Лист2!D:D, Лист2!A:A, A164, Лист2!B:B, B164)</f>
        <v>5286</v>
      </c>
      <c r="G164" s="7">
        <f>SUMIFS(Лист2!E:E, Лист2!A:A, A164, Лист2!B:B, B164)</f>
        <v>4867</v>
      </c>
      <c r="H164" s="7">
        <f t="shared" si="0"/>
        <v>184782.75</v>
      </c>
      <c r="I164" s="21">
        <f t="shared" si="3"/>
        <v>20</v>
      </c>
    </row>
    <row r="165" spans="1:9" ht="14.25" customHeight="1" x14ac:dyDescent="0.25">
      <c r="A165" s="9">
        <v>43970</v>
      </c>
      <c r="B165" s="10" t="s">
        <v>16</v>
      </c>
      <c r="C165" s="10">
        <v>75796.5</v>
      </c>
      <c r="D165" s="10">
        <v>6173463</v>
      </c>
      <c r="E165" s="7">
        <f>SUMIFS(Лист2!C:C, Лист2!A:A, A165, Лист2!B:B, B165)</f>
        <v>36</v>
      </c>
      <c r="F165" s="7">
        <f>SUMIFS(Лист2!D:D, Лист2!A:A, A165, Лист2!B:B, B165)</f>
        <v>5094</v>
      </c>
      <c r="G165" s="7">
        <f>SUMIFS(Лист2!E:E, Лист2!A:A, A165, Лист2!B:B, B165)</f>
        <v>4716</v>
      </c>
      <c r="H165" s="7">
        <f t="shared" si="0"/>
        <v>171485.08333333334</v>
      </c>
      <c r="I165" s="21">
        <f t="shared" si="3"/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SUMIFS(Лист2!C:C, Лист2!A:A, A166, Лист2!B:B, B166)</f>
        <v>36</v>
      </c>
      <c r="F166" s="7">
        <f>SUMIFS(Лист2!D:D, Лист2!A:A, A166, Лист2!B:B, B166)</f>
        <v>4918</v>
      </c>
      <c r="G166" s="7">
        <f>SUMIFS(Лист2!E:E, Лист2!A:A, A166, Лист2!B:B, B166)</f>
        <v>4554</v>
      </c>
      <c r="H166" s="7">
        <f t="shared" si="0"/>
        <v>165355.625</v>
      </c>
      <c r="I166" s="21">
        <f t="shared" si="3"/>
        <v>20</v>
      </c>
    </row>
    <row r="167" spans="1:9" ht="14.25" customHeight="1" x14ac:dyDescent="0.25">
      <c r="A167" s="9">
        <v>43960</v>
      </c>
      <c r="B167" s="10" t="s">
        <v>16</v>
      </c>
      <c r="C167" s="10">
        <v>83373</v>
      </c>
      <c r="D167" s="10">
        <v>7253427</v>
      </c>
      <c r="E167" s="7">
        <f>SUMIFS(Лист2!C:C, Лист2!A:A, A167, Лист2!B:B, B167)</f>
        <v>36</v>
      </c>
      <c r="F167" s="7">
        <f>SUMIFS(Лист2!D:D, Лист2!A:A, A167, Лист2!B:B, B167)</f>
        <v>5413</v>
      </c>
      <c r="G167" s="7">
        <f>SUMIFS(Лист2!E:E, Лист2!A:A, A167, Лист2!B:B, B167)</f>
        <v>4959</v>
      </c>
      <c r="H167" s="7">
        <f t="shared" si="0"/>
        <v>201484.08333333334</v>
      </c>
      <c r="I167" s="21">
        <f t="shared" si="3"/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SUMIFS(Лист2!C:C, Лист2!A:A, A168, Лист2!B:B, B168)</f>
        <v>36</v>
      </c>
      <c r="F168" s="7">
        <f>SUMIFS(Лист2!D:D, Лист2!A:A, A168, Лист2!B:B, B168)</f>
        <v>4508</v>
      </c>
      <c r="G168" s="7">
        <f>SUMIFS(Лист2!E:E, Лист2!A:A, A168, Лист2!B:B, B168)</f>
        <v>4149</v>
      </c>
      <c r="H168" s="7">
        <f t="shared" si="0"/>
        <v>154484.79166666666</v>
      </c>
      <c r="I168" s="21">
        <f t="shared" si="3"/>
        <v>19</v>
      </c>
    </row>
    <row r="169" spans="1:9" ht="14.25" customHeight="1" x14ac:dyDescent="0.25">
      <c r="A169" s="9">
        <v>43950</v>
      </c>
      <c r="B169" s="10" t="s">
        <v>16</v>
      </c>
      <c r="C169" s="10">
        <v>74707.5</v>
      </c>
      <c r="D169" s="10">
        <v>6454458</v>
      </c>
      <c r="E169" s="7">
        <f>SUMIFS(Лист2!C:C, Лист2!A:A, A169, Лист2!B:B, B169)</f>
        <v>36</v>
      </c>
      <c r="F169" s="7">
        <f>SUMIFS(Лист2!D:D, Лист2!A:A, A169, Лист2!B:B, B169)</f>
        <v>4937</v>
      </c>
      <c r="G169" s="7">
        <f>SUMIFS(Лист2!E:E, Лист2!A:A, A169, Лист2!B:B, B169)</f>
        <v>4561</v>
      </c>
      <c r="H169" s="7">
        <f t="shared" si="0"/>
        <v>179290.5</v>
      </c>
      <c r="I169" s="21">
        <f t="shared" si="3"/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SUMIFS(Лист2!C:C, Лист2!A:A, A170, Лист2!B:B, B170)</f>
        <v>36</v>
      </c>
      <c r="F170" s="7">
        <f>SUMIFS(Лист2!D:D, Лист2!A:A, A170, Лист2!B:B, B170)</f>
        <v>3442</v>
      </c>
      <c r="G170" s="7">
        <f>SUMIFS(Лист2!E:E, Лист2!A:A, A170, Лист2!B:B, B170)</f>
        <v>3147</v>
      </c>
      <c r="H170" s="7">
        <f t="shared" si="0"/>
        <v>114395.875</v>
      </c>
      <c r="I170" s="21">
        <f t="shared" si="3"/>
        <v>18</v>
      </c>
    </row>
    <row r="171" spans="1:9" ht="14.25" customHeight="1" x14ac:dyDescent="0.25">
      <c r="A171" s="9">
        <v>43977</v>
      </c>
      <c r="B171" s="10" t="s">
        <v>16</v>
      </c>
      <c r="C171" s="10">
        <v>67726.5</v>
      </c>
      <c r="D171" s="10">
        <v>5864989.5</v>
      </c>
      <c r="E171" s="7">
        <f>SUMIFS(Лист2!C:C, Лист2!A:A, A171, Лист2!B:B, B171)</f>
        <v>36</v>
      </c>
      <c r="F171" s="7">
        <f>SUMIFS(Лист2!D:D, Лист2!A:A, A171, Лист2!B:B, B171)</f>
        <v>4770</v>
      </c>
      <c r="G171" s="7">
        <f>SUMIFS(Лист2!E:E, Лист2!A:A, A171, Лист2!B:B, B171)</f>
        <v>4424</v>
      </c>
      <c r="H171" s="7">
        <f t="shared" si="0"/>
        <v>162916.375</v>
      </c>
      <c r="I171" s="21">
        <f t="shared" si="3"/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SUMIFS(Лист2!C:C, Лист2!A:A, A172, Лист2!B:B, B172)</f>
        <v>36</v>
      </c>
      <c r="F172" s="7">
        <f>SUMIFS(Лист2!D:D, Лист2!A:A, A172, Лист2!B:B, B172)</f>
        <v>5457</v>
      </c>
      <c r="G172" s="7">
        <f>SUMIFS(Лист2!E:E, Лист2!A:A, A172, Лист2!B:B, B172)</f>
        <v>4916</v>
      </c>
      <c r="H172" s="7">
        <f t="shared" si="0"/>
        <v>195339.58333333334</v>
      </c>
      <c r="I172" s="21">
        <f t="shared" si="3"/>
        <v>18</v>
      </c>
    </row>
    <row r="173" spans="1:9" ht="14.25" customHeight="1" x14ac:dyDescent="0.25">
      <c r="A173" s="9">
        <v>43963</v>
      </c>
      <c r="B173" s="10" t="s">
        <v>16</v>
      </c>
      <c r="C173" s="10">
        <v>64390.5</v>
      </c>
      <c r="D173" s="10">
        <v>5523145.5</v>
      </c>
      <c r="E173" s="7">
        <f>SUMIFS(Лист2!C:C, Лист2!A:A, A173, Лист2!B:B, B173)</f>
        <v>36</v>
      </c>
      <c r="F173" s="7">
        <f>SUMIFS(Лист2!D:D, Лист2!A:A, A173, Лист2!B:B, B173)</f>
        <v>4418</v>
      </c>
      <c r="G173" s="7">
        <f>SUMIFS(Лист2!E:E, Лист2!A:A, A173, Лист2!B:B, B173)</f>
        <v>4088</v>
      </c>
      <c r="H173" s="7">
        <f t="shared" si="0"/>
        <v>153420.70833333334</v>
      </c>
      <c r="I173" s="21">
        <f t="shared" si="3"/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SUMIFS(Лист2!C:C, Лист2!A:A, A174, Лист2!B:B, B174)</f>
        <v>36</v>
      </c>
      <c r="F174" s="7">
        <f>SUMIFS(Лист2!D:D, Лист2!A:A, A174, Лист2!B:B, B174)</f>
        <v>4816</v>
      </c>
      <c r="G174" s="7">
        <f>SUMIFS(Лист2!E:E, Лист2!A:A, A174, Лист2!B:B, B174)</f>
        <v>4452</v>
      </c>
      <c r="H174" s="7">
        <f t="shared" si="0"/>
        <v>162891.25</v>
      </c>
      <c r="I174" s="21">
        <f t="shared" si="3"/>
        <v>21</v>
      </c>
    </row>
    <row r="175" spans="1:9" ht="14.25" customHeight="1" x14ac:dyDescent="0.25">
      <c r="A175" s="9">
        <v>43971</v>
      </c>
      <c r="B175" s="10" t="s">
        <v>16</v>
      </c>
      <c r="C175" s="10">
        <v>99631.5</v>
      </c>
      <c r="D175" s="10">
        <v>7121946</v>
      </c>
      <c r="E175" s="7">
        <f>SUMIFS(Лист2!C:C, Лист2!A:A, A175, Лист2!B:B, B175)</f>
        <v>36</v>
      </c>
      <c r="F175" s="7">
        <f>SUMIFS(Лист2!D:D, Лист2!A:A, A175, Лист2!B:B, B175)</f>
        <v>5914</v>
      </c>
      <c r="G175" s="7">
        <f>SUMIFS(Лист2!E:E, Лист2!A:A, A175, Лист2!B:B, B175)</f>
        <v>5384</v>
      </c>
      <c r="H175" s="7">
        <f t="shared" si="0"/>
        <v>197831.83333333334</v>
      </c>
      <c r="I175" s="21">
        <f t="shared" si="3"/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SUMIFS(Лист2!C:C, Лист2!A:A, A176, Лист2!B:B, B176)</f>
        <v>36</v>
      </c>
      <c r="F176" s="7">
        <f>SUMIFS(Лист2!D:D, Лист2!A:A, A176, Лист2!B:B, B176)</f>
        <v>4575</v>
      </c>
      <c r="G176" s="7">
        <f>SUMIFS(Лист2!E:E, Лист2!A:A, A176, Лист2!B:B, B176)</f>
        <v>4206</v>
      </c>
      <c r="H176" s="7">
        <f t="shared" si="0"/>
        <v>160292.75</v>
      </c>
      <c r="I176" s="21">
        <f t="shared" si="3"/>
        <v>19</v>
      </c>
    </row>
    <row r="177" spans="1:9" ht="14.25" customHeight="1" x14ac:dyDescent="0.25">
      <c r="A177" s="9">
        <v>43949</v>
      </c>
      <c r="B177" s="10" t="s">
        <v>16</v>
      </c>
      <c r="C177" s="10">
        <v>73147.5</v>
      </c>
      <c r="D177" s="10">
        <v>6288246</v>
      </c>
      <c r="E177" s="7">
        <f>SUMIFS(Лист2!C:C, Лист2!A:A, A177, Лист2!B:B, B177)</f>
        <v>36</v>
      </c>
      <c r="F177" s="7">
        <f>SUMIFS(Лист2!D:D, Лист2!A:A, A177, Лист2!B:B, B177)</f>
        <v>4923</v>
      </c>
      <c r="G177" s="7">
        <f>SUMIFS(Лист2!E:E, Лист2!A:A, A177, Лист2!B:B, B177)</f>
        <v>4560</v>
      </c>
      <c r="H177" s="7">
        <f t="shared" si="0"/>
        <v>174673.5</v>
      </c>
      <c r="I177" s="21">
        <f t="shared" si="3"/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SUMIFS(Лист2!C:C, Лист2!A:A, A178, Лист2!B:B, B178)</f>
        <v>36</v>
      </c>
      <c r="F178" s="7">
        <f>SUMIFS(Лист2!D:D, Лист2!A:A, A178, Лист2!B:B, B178)</f>
        <v>4967</v>
      </c>
      <c r="G178" s="7">
        <f>SUMIFS(Лист2!E:E, Лист2!A:A, A178, Лист2!B:B, B178)</f>
        <v>4583</v>
      </c>
      <c r="H178" s="7">
        <f t="shared" si="0"/>
        <v>175939.66666666666</v>
      </c>
      <c r="I178" s="21">
        <f t="shared" si="3"/>
        <v>20</v>
      </c>
    </row>
    <row r="179" spans="1:9" ht="14.25" customHeight="1" x14ac:dyDescent="0.25">
      <c r="A179" s="9">
        <v>43982</v>
      </c>
      <c r="B179" s="10" t="s">
        <v>15</v>
      </c>
      <c r="C179" s="10">
        <v>379663.5</v>
      </c>
      <c r="D179" s="10">
        <v>39380178</v>
      </c>
      <c r="E179" s="7">
        <f>SUMIFS(Лист2!C:C, Лист2!A:A, A179, Лист2!B:B, B179)</f>
        <v>124</v>
      </c>
      <c r="F179" s="7">
        <f>SUMIFS(Лист2!D:D, Лист2!A:A, A179, Лист2!B:B, B179)</f>
        <v>21392</v>
      </c>
      <c r="G179" s="7">
        <f>SUMIFS(Лист2!E:E, Лист2!A:A, A179, Лист2!B:B, B179)</f>
        <v>19869</v>
      </c>
      <c r="H179" s="7">
        <f t="shared" si="0"/>
        <v>317582.08064516127</v>
      </c>
      <c r="I179" s="21">
        <f t="shared" si="3"/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SUMIFS(Лист2!C:C, Лист2!A:A, A180, Лист2!B:B, B180)</f>
        <v>36</v>
      </c>
      <c r="F180" s="7">
        <f>SUMIFS(Лист2!D:D, Лист2!A:A, A180, Лист2!B:B, B180)</f>
        <v>4751</v>
      </c>
      <c r="G180" s="7">
        <f>SUMIFS(Лист2!E:E, Лист2!A:A, A180, Лист2!B:B, B180)</f>
        <v>4370</v>
      </c>
      <c r="H180" s="7">
        <f t="shared" si="0"/>
        <v>172814.45833333334</v>
      </c>
      <c r="I180" s="21">
        <f t="shared" si="3"/>
        <v>18</v>
      </c>
    </row>
    <row r="181" spans="1:9" ht="14.25" customHeight="1" x14ac:dyDescent="0.25">
      <c r="A181" s="9">
        <v>43981</v>
      </c>
      <c r="B181" s="10" t="s">
        <v>15</v>
      </c>
      <c r="C181" s="10">
        <v>453123</v>
      </c>
      <c r="D181" s="10">
        <v>46370904</v>
      </c>
      <c r="E181" s="7">
        <f>SUMIFS(Лист2!C:C, Лист2!A:A, A181, Лист2!B:B, B181)</f>
        <v>124</v>
      </c>
      <c r="F181" s="7">
        <f>SUMIFS(Лист2!D:D, Лист2!A:A, A181, Лист2!B:B, B181)</f>
        <v>24325</v>
      </c>
      <c r="G181" s="7">
        <f>SUMIFS(Лист2!E:E, Лист2!A:A, A181, Лист2!B:B, B181)</f>
        <v>22469</v>
      </c>
      <c r="H181" s="7">
        <f t="shared" si="0"/>
        <v>373958.90322580643</v>
      </c>
      <c r="I181" s="21">
        <f t="shared" si="3"/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SUMIFS(Лист2!C:C, Лист2!A:A, A182, Лист2!B:B, B182)</f>
        <v>36</v>
      </c>
      <c r="F182" s="7">
        <f>SUMIFS(Лист2!D:D, Лист2!A:A, A182, Лист2!B:B, B182)</f>
        <v>4384</v>
      </c>
      <c r="G182" s="7">
        <f>SUMIFS(Лист2!E:E, Лист2!A:A, A182, Лист2!B:B, B182)</f>
        <v>4025</v>
      </c>
      <c r="H182" s="7">
        <f t="shared" si="0"/>
        <v>151503.375</v>
      </c>
      <c r="I182" s="21">
        <f t="shared" si="3"/>
        <v>19</v>
      </c>
    </row>
    <row r="183" spans="1:9" ht="14.25" customHeight="1" x14ac:dyDescent="0.25">
      <c r="A183" s="9">
        <v>43974</v>
      </c>
      <c r="B183" s="10" t="s">
        <v>16</v>
      </c>
      <c r="C183" s="10">
        <v>89556</v>
      </c>
      <c r="D183" s="10">
        <v>7173117</v>
      </c>
      <c r="E183" s="7">
        <f>SUMIFS(Лист2!C:C, Лист2!A:A, A183, Лист2!B:B, B183)</f>
        <v>36</v>
      </c>
      <c r="F183" s="7">
        <f>SUMIFS(Лист2!D:D, Лист2!A:A, A183, Лист2!B:B, B183)</f>
        <v>5651</v>
      </c>
      <c r="G183" s="7">
        <f>SUMIFS(Лист2!E:E, Лист2!A:A, A183, Лист2!B:B, B183)</f>
        <v>5212</v>
      </c>
      <c r="H183" s="7">
        <f t="shared" si="0"/>
        <v>199253.25</v>
      </c>
      <c r="I183" s="21">
        <f t="shared" si="3"/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SUMIFS(Лист2!C:C, Лист2!A:A, A184, Лист2!B:B, B184)</f>
        <v>124</v>
      </c>
      <c r="F184" s="7">
        <f>SUMIFS(Лист2!D:D, Лист2!A:A, A184, Лист2!B:B, B184)</f>
        <v>20868</v>
      </c>
      <c r="G184" s="7">
        <f>SUMIFS(Лист2!E:E, Лист2!A:A, A184, Лист2!B:B, B184)</f>
        <v>19342</v>
      </c>
      <c r="H184" s="7">
        <f t="shared" si="0"/>
        <v>306029.74596774194</v>
      </c>
      <c r="I184" s="21">
        <f t="shared" si="3"/>
        <v>22</v>
      </c>
    </row>
    <row r="185" spans="1:9" ht="14.25" customHeight="1" x14ac:dyDescent="0.25">
      <c r="A185" s="9">
        <v>43976</v>
      </c>
      <c r="B185" s="10" t="s">
        <v>16</v>
      </c>
      <c r="C185" s="10">
        <v>66316.5</v>
      </c>
      <c r="D185" s="10">
        <v>5704650</v>
      </c>
      <c r="E185" s="7">
        <f>SUMIFS(Лист2!C:C, Лист2!A:A, A185, Лист2!B:B, B185)</f>
        <v>36</v>
      </c>
      <c r="F185" s="7">
        <f>SUMIFS(Лист2!D:D, Лист2!A:A, A185, Лист2!B:B, B185)</f>
        <v>4641</v>
      </c>
      <c r="G185" s="7">
        <f>SUMIFS(Лист2!E:E, Лист2!A:A, A185, Лист2!B:B, B185)</f>
        <v>4274</v>
      </c>
      <c r="H185" s="7">
        <f t="shared" si="0"/>
        <v>158462.5</v>
      </c>
      <c r="I185" s="21">
        <f t="shared" si="3"/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SUMIFS(Лист2!C:C, Лист2!A:A, A186, Лист2!B:B, B186)</f>
        <v>36</v>
      </c>
      <c r="F186" s="7">
        <f>SUMIFS(Лист2!D:D, Лист2!A:A, A186, Лист2!B:B, B186)</f>
        <v>5143</v>
      </c>
      <c r="G186" s="7">
        <f>SUMIFS(Лист2!E:E, Лист2!A:A, A186, Лист2!B:B, B186)</f>
        <v>4715</v>
      </c>
      <c r="H186" s="7">
        <f t="shared" si="0"/>
        <v>189433.16666666666</v>
      </c>
      <c r="I186" s="21">
        <f t="shared" si="3"/>
        <v>18</v>
      </c>
    </row>
    <row r="187" spans="1:9" ht="14.25" customHeight="1" x14ac:dyDescent="0.25">
      <c r="A187" s="9">
        <v>43961</v>
      </c>
      <c r="B187" s="10" t="s">
        <v>16</v>
      </c>
      <c r="C187" s="10">
        <v>88311</v>
      </c>
      <c r="D187" s="10">
        <v>7726069.5</v>
      </c>
      <c r="E187" s="7">
        <f>SUMIFS(Лист2!C:C, Лист2!A:A, A187, Лист2!B:B, B187)</f>
        <v>36</v>
      </c>
      <c r="F187" s="7">
        <f>SUMIFS(Лист2!D:D, Лист2!A:A, A187, Лист2!B:B, B187)</f>
        <v>5746</v>
      </c>
      <c r="G187" s="7">
        <f>SUMIFS(Лист2!E:E, Лист2!A:A, A187, Лист2!B:B, B187)</f>
        <v>5277</v>
      </c>
      <c r="H187" s="7">
        <f t="shared" si="0"/>
        <v>214613.04166666666</v>
      </c>
      <c r="I187" s="21">
        <f t="shared" si="3"/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SUMIFS(Лист2!C:C, Лист2!A:A, A188, Лист2!B:B, B188)</f>
        <v>36</v>
      </c>
      <c r="F188" s="7">
        <f>SUMIFS(Лист2!D:D, Лист2!A:A, A188, Лист2!B:B, B188)</f>
        <v>4199</v>
      </c>
      <c r="G188" s="7">
        <f>SUMIFS(Лист2!E:E, Лист2!A:A, A188, Лист2!B:B, B188)</f>
        <v>3867</v>
      </c>
      <c r="H188" s="7">
        <f t="shared" si="0"/>
        <v>149047.45833333334</v>
      </c>
      <c r="I188" s="21">
        <f t="shared" si="3"/>
        <v>19</v>
      </c>
    </row>
    <row r="189" spans="1:9" ht="14.25" customHeight="1" x14ac:dyDescent="0.25">
      <c r="A189" s="9">
        <v>43958</v>
      </c>
      <c r="B189" s="10" t="s">
        <v>16</v>
      </c>
      <c r="C189" s="10">
        <v>71067</v>
      </c>
      <c r="D189" s="10">
        <v>6175837.5</v>
      </c>
      <c r="E189" s="7">
        <f>SUMIFS(Лист2!C:C, Лист2!A:A, A189, Лист2!B:B, B189)</f>
        <v>36</v>
      </c>
      <c r="F189" s="7">
        <f>SUMIFS(Лист2!D:D, Лист2!A:A, A189, Лист2!B:B, B189)</f>
        <v>4826</v>
      </c>
      <c r="G189" s="7">
        <f>SUMIFS(Лист2!E:E, Лист2!A:A, A189, Лист2!B:B, B189)</f>
        <v>4426</v>
      </c>
      <c r="H189" s="7">
        <f t="shared" si="0"/>
        <v>171551.04166666666</v>
      </c>
      <c r="I189" s="21">
        <f t="shared" si="3"/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SUMIFS(Лист2!C:C, Лист2!A:A, A190, Лист2!B:B, B190)</f>
        <v>36</v>
      </c>
      <c r="F190" s="7">
        <f>SUMIFS(Лист2!D:D, Лист2!A:A, A190, Лист2!B:B, B190)</f>
        <v>4915</v>
      </c>
      <c r="G190" s="7">
        <f>SUMIFS(Лист2!E:E, Лист2!A:A, A190, Лист2!B:B, B190)</f>
        <v>4562</v>
      </c>
      <c r="H190" s="7">
        <f t="shared" si="0"/>
        <v>169395.45833333334</v>
      </c>
      <c r="I190" s="21">
        <f t="shared" si="3"/>
        <v>21</v>
      </c>
    </row>
    <row r="191" spans="1:9" ht="14.25" customHeight="1" x14ac:dyDescent="0.25">
      <c r="A191" s="9">
        <v>43967</v>
      </c>
      <c r="B191" s="10" t="s">
        <v>17</v>
      </c>
      <c r="C191" s="10">
        <v>44560.5</v>
      </c>
      <c r="D191" s="10">
        <v>4025148</v>
      </c>
      <c r="E191" s="7">
        <f>SUMIFS(Лист2!C:C, Лист2!A:A, A191, Лист2!B:B, B191)</f>
        <v>21</v>
      </c>
      <c r="F191" s="7">
        <f>SUMIFS(Лист2!D:D, Лист2!A:A, A191, Лист2!B:B, B191)</f>
        <v>2427</v>
      </c>
      <c r="G191" s="7">
        <f>SUMIFS(Лист2!E:E, Лист2!A:A, A191, Лист2!B:B, B191)</f>
        <v>2213</v>
      </c>
      <c r="H191" s="7">
        <f t="shared" si="0"/>
        <v>191673.71428571429</v>
      </c>
      <c r="I191" s="21">
        <f t="shared" si="3"/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SUMIFS(Лист2!C:C, Лист2!A:A, A192, Лист2!B:B, B192)</f>
        <v>21</v>
      </c>
      <c r="F192" s="7">
        <f>SUMIFS(Лист2!D:D, Лист2!A:A, A192, Лист2!B:B, B192)</f>
        <v>2245</v>
      </c>
      <c r="G192" s="7">
        <f>SUMIFS(Лист2!E:E, Лист2!A:A, A192, Лист2!B:B, B192)</f>
        <v>2053</v>
      </c>
      <c r="H192" s="7">
        <f t="shared" si="0"/>
        <v>169187.5</v>
      </c>
      <c r="I192" s="21">
        <f t="shared" si="3"/>
        <v>21</v>
      </c>
    </row>
    <row r="193" spans="1:9" ht="14.25" customHeight="1" x14ac:dyDescent="0.25">
      <c r="A193" s="9">
        <v>43968</v>
      </c>
      <c r="B193" s="10" t="s">
        <v>17</v>
      </c>
      <c r="C193" s="10">
        <v>34830</v>
      </c>
      <c r="D193" s="10">
        <v>3191155.5</v>
      </c>
      <c r="E193" s="7">
        <f>SUMIFS(Лист2!C:C, Лист2!A:A, A193, Лист2!B:B, B193)</f>
        <v>21</v>
      </c>
      <c r="F193" s="7">
        <f>SUMIFS(Лист2!D:D, Лист2!A:A, A193, Лист2!B:B, B193)</f>
        <v>2054</v>
      </c>
      <c r="G193" s="7">
        <f>SUMIFS(Лист2!E:E, Лист2!A:A, A193, Лист2!B:B, B193)</f>
        <v>1883</v>
      </c>
      <c r="H193" s="7">
        <f t="shared" si="0"/>
        <v>151959.78571428571</v>
      </c>
      <c r="I193" s="21">
        <f t="shared" si="3"/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SUMIFS(Лист2!C:C, Лист2!A:A, A194, Лист2!B:B, B194)</f>
        <v>21</v>
      </c>
      <c r="F194" s="7">
        <f>SUMIFS(Лист2!D:D, Лист2!A:A, A194, Лист2!B:B, B194)</f>
        <v>1891</v>
      </c>
      <c r="G194" s="7">
        <f>SUMIFS(Лист2!E:E, Лист2!A:A, A194, Лист2!B:B, B194)</f>
        <v>1709</v>
      </c>
      <c r="H194" s="7">
        <f t="shared" si="0"/>
        <v>146899.64285714287</v>
      </c>
      <c r="I194" s="21">
        <f t="shared" si="3"/>
        <v>19</v>
      </c>
    </row>
    <row r="195" spans="1:9" ht="14.25" customHeight="1" x14ac:dyDescent="0.25">
      <c r="A195" s="9">
        <v>43955</v>
      </c>
      <c r="B195" s="10" t="s">
        <v>17</v>
      </c>
      <c r="C195" s="10">
        <v>30780</v>
      </c>
      <c r="D195" s="10">
        <v>2817853.5</v>
      </c>
      <c r="E195" s="7">
        <f>SUMIFS(Лист2!C:C, Лист2!A:A, A195, Лист2!B:B, B195)</f>
        <v>20</v>
      </c>
      <c r="F195" s="7">
        <f>SUMIFS(Лист2!D:D, Лист2!A:A, A195, Лист2!B:B, B195)</f>
        <v>1804</v>
      </c>
      <c r="G195" s="7">
        <f>SUMIFS(Лист2!E:E, Лист2!A:A, A195, Лист2!B:B, B195)</f>
        <v>1638</v>
      </c>
      <c r="H195" s="7">
        <f t="shared" si="0"/>
        <v>140892.67499999999</v>
      </c>
      <c r="I195" s="21">
        <f t="shared" ref="I195:I258" si="4">_xlfn.ISOWEEKNUM(A195)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SUMIFS(Лист2!C:C, Лист2!A:A, A196, Лист2!B:B, B196)</f>
        <v>19</v>
      </c>
      <c r="F196" s="7">
        <f>SUMIFS(Лист2!D:D, Лист2!A:A, A196, Лист2!B:B, B196)</f>
        <v>1676</v>
      </c>
      <c r="G196" s="7">
        <f>SUMIFS(Лист2!E:E, Лист2!A:A, A196, Лист2!B:B, B196)</f>
        <v>1516</v>
      </c>
      <c r="H196" s="7">
        <f t="shared" si="0"/>
        <v>138294.47368421053</v>
      </c>
      <c r="I196" s="21">
        <f t="shared" si="4"/>
        <v>18</v>
      </c>
    </row>
    <row r="197" spans="1:9" ht="14.25" customHeight="1" x14ac:dyDescent="0.25">
      <c r="A197" s="9">
        <v>43953</v>
      </c>
      <c r="B197" s="10" t="s">
        <v>17</v>
      </c>
      <c r="C197" s="10">
        <v>26428.5</v>
      </c>
      <c r="D197" s="10">
        <v>2470465.5</v>
      </c>
      <c r="E197" s="7">
        <f>SUMIFS(Лист2!C:C, Лист2!A:A, A197, Лист2!B:B, B197)</f>
        <v>20</v>
      </c>
      <c r="F197" s="7">
        <f>SUMIFS(Лист2!D:D, Лист2!A:A, A197, Лист2!B:B, B197)</f>
        <v>1613</v>
      </c>
      <c r="G197" s="7">
        <f>SUMIFS(Лист2!E:E, Лист2!A:A, A197, Лист2!B:B, B197)</f>
        <v>1457</v>
      </c>
      <c r="H197" s="7">
        <f t="shared" si="0"/>
        <v>123523.27499999999</v>
      </c>
      <c r="I197" s="21">
        <f t="shared" si="4"/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SUMIFS(Лист2!C:C, Лист2!A:A, A198, Лист2!B:B, B198)</f>
        <v>21</v>
      </c>
      <c r="F198" s="7">
        <f>SUMIFS(Лист2!D:D, Лист2!A:A, A198, Лист2!B:B, B198)</f>
        <v>2418</v>
      </c>
      <c r="G198" s="7">
        <f>SUMIFS(Лист2!E:E, Лист2!A:A, A198, Лист2!B:B, B198)</f>
        <v>2215</v>
      </c>
      <c r="H198" s="7">
        <f t="shared" si="0"/>
        <v>176205.28571428571</v>
      </c>
      <c r="I198" s="21">
        <f t="shared" si="4"/>
        <v>22</v>
      </c>
    </row>
    <row r="199" spans="1:9" ht="14.25" customHeight="1" x14ac:dyDescent="0.25">
      <c r="A199" s="9">
        <v>43952</v>
      </c>
      <c r="B199" s="10" t="s">
        <v>17</v>
      </c>
      <c r="C199" s="10">
        <v>46620</v>
      </c>
      <c r="D199" s="10">
        <v>4293241.5</v>
      </c>
      <c r="E199" s="7">
        <f>SUMIFS(Лист2!C:C, Лист2!A:A, A199, Лист2!B:B, B199)</f>
        <v>20</v>
      </c>
      <c r="F199" s="7">
        <f>SUMIFS(Лист2!D:D, Лист2!A:A, A199, Лист2!B:B, B199)</f>
        <v>2468</v>
      </c>
      <c r="G199" s="7">
        <f>SUMIFS(Лист2!E:E, Лист2!A:A, A199, Лист2!B:B, B199)</f>
        <v>2221</v>
      </c>
      <c r="H199" s="7">
        <f t="shared" si="0"/>
        <v>214662.07500000001</v>
      </c>
      <c r="I199" s="21">
        <f t="shared" si="4"/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SUMIFS(Лист2!C:C, Лист2!A:A, A200, Лист2!B:B, B200)</f>
        <v>21</v>
      </c>
      <c r="F200" s="7">
        <f>SUMIFS(Лист2!D:D, Лист2!A:A, A200, Лист2!B:B, B200)</f>
        <v>1926</v>
      </c>
      <c r="G200" s="7">
        <f>SUMIFS(Лист2!E:E, Лист2!A:A, A200, Лист2!B:B, B200)</f>
        <v>1745</v>
      </c>
      <c r="H200" s="7">
        <f t="shared" si="0"/>
        <v>146695.92857142858</v>
      </c>
      <c r="I200" s="21">
        <f t="shared" si="4"/>
        <v>20</v>
      </c>
    </row>
    <row r="201" spans="1:9" ht="14.25" customHeight="1" x14ac:dyDescent="0.25">
      <c r="A201" s="9">
        <v>43972</v>
      </c>
      <c r="B201" s="10" t="s">
        <v>17</v>
      </c>
      <c r="C201" s="10">
        <v>40819.5</v>
      </c>
      <c r="D201" s="10">
        <v>3810394.5</v>
      </c>
      <c r="E201" s="7">
        <f>SUMIFS(Лист2!C:C, Лист2!A:A, A201, Лист2!B:B, B201)</f>
        <v>21</v>
      </c>
      <c r="F201" s="7">
        <f>SUMIFS(Лист2!D:D, Лист2!A:A, A201, Лист2!B:B, B201)</f>
        <v>2335</v>
      </c>
      <c r="G201" s="7">
        <f>SUMIFS(Лист2!E:E, Лист2!A:A, A201, Лист2!B:B, B201)</f>
        <v>2126</v>
      </c>
      <c r="H201" s="7">
        <f t="shared" si="0"/>
        <v>181447.35714285713</v>
      </c>
      <c r="I201" s="21">
        <f t="shared" si="4"/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SUMIFS(Лист2!C:C, Лист2!A:A, A202, Лист2!B:B, B202)</f>
        <v>21</v>
      </c>
      <c r="F202" s="7">
        <f>SUMIFS(Лист2!D:D, Лист2!A:A, A202, Лист2!B:B, B202)</f>
        <v>2410</v>
      </c>
      <c r="G202" s="7">
        <f>SUMIFS(Лист2!E:E, Лист2!A:A, A202, Лист2!B:B, B202)</f>
        <v>2202</v>
      </c>
      <c r="H202" s="7">
        <f t="shared" si="0"/>
        <v>186618.42857142858</v>
      </c>
      <c r="I202" s="21">
        <f t="shared" si="4"/>
        <v>21</v>
      </c>
    </row>
    <row r="203" spans="1:9" ht="14.25" customHeight="1" x14ac:dyDescent="0.25">
      <c r="A203" s="9">
        <v>43956</v>
      </c>
      <c r="B203" s="10" t="s">
        <v>17</v>
      </c>
      <c r="C203" s="10">
        <v>29482.5</v>
      </c>
      <c r="D203" s="10">
        <v>2648688</v>
      </c>
      <c r="E203" s="7">
        <f>SUMIFS(Лист2!C:C, Лист2!A:A, A203, Лист2!B:B, B203)</f>
        <v>20</v>
      </c>
      <c r="F203" s="7">
        <f>SUMIFS(Лист2!D:D, Лист2!A:A, A203, Лист2!B:B, B203)</f>
        <v>1757</v>
      </c>
      <c r="G203" s="7">
        <f>SUMIFS(Лист2!E:E, Лист2!A:A, A203, Лист2!B:B, B203)</f>
        <v>1596</v>
      </c>
      <c r="H203" s="7">
        <f t="shared" si="0"/>
        <v>132434.4</v>
      </c>
      <c r="I203" s="21">
        <f t="shared" si="4"/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SUMIFS(Лист2!C:C, Лист2!A:A, A204, Лист2!B:B, B204)</f>
        <v>19</v>
      </c>
      <c r="F204" s="7">
        <f>SUMIFS(Лист2!D:D, Лист2!A:A, A204, Лист2!B:B, B204)</f>
        <v>1846</v>
      </c>
      <c r="G204" s="7">
        <f>SUMIFS(Лист2!E:E, Лист2!A:A, A204, Лист2!B:B, B204)</f>
        <v>1681</v>
      </c>
      <c r="H204" s="7">
        <f t="shared" si="0"/>
        <v>150715.81578947368</v>
      </c>
      <c r="I204" s="21">
        <f t="shared" si="4"/>
        <v>18</v>
      </c>
    </row>
    <row r="205" spans="1:9" ht="14.25" customHeight="1" x14ac:dyDescent="0.25">
      <c r="A205" s="9">
        <v>43964</v>
      </c>
      <c r="B205" s="10" t="s">
        <v>17</v>
      </c>
      <c r="C205" s="10">
        <v>35535</v>
      </c>
      <c r="D205" s="10">
        <v>3288069</v>
      </c>
      <c r="E205" s="7">
        <f>SUMIFS(Лист2!C:C, Лист2!A:A, A205, Лист2!B:B, B205)</f>
        <v>21</v>
      </c>
      <c r="F205" s="7">
        <f>SUMIFS(Лист2!D:D, Лист2!A:A, A205, Лист2!B:B, B205)</f>
        <v>2061</v>
      </c>
      <c r="G205" s="7">
        <f>SUMIFS(Лист2!E:E, Лист2!A:A, A205, Лист2!B:B, B205)</f>
        <v>1876</v>
      </c>
      <c r="H205" s="7">
        <f t="shared" si="0"/>
        <v>156574.71428571429</v>
      </c>
      <c r="I205" s="21">
        <f t="shared" si="4"/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SUMIFS(Лист2!C:C, Лист2!A:A, A206, Лист2!B:B, B206)</f>
        <v>37</v>
      </c>
      <c r="F206" s="7">
        <f>SUMIFS(Лист2!D:D, Лист2!A:A, A206, Лист2!B:B, B206)</f>
        <v>5215</v>
      </c>
      <c r="G206" s="7">
        <f>SUMIFS(Лист2!E:E, Лист2!A:A, A206, Лист2!B:B, B206)</f>
        <v>4848</v>
      </c>
      <c r="H206" s="7">
        <f t="shared" si="0"/>
        <v>175698.60810810811</v>
      </c>
      <c r="I206" s="21">
        <f t="shared" si="4"/>
        <v>22</v>
      </c>
    </row>
    <row r="207" spans="1:9" ht="14.25" customHeight="1" x14ac:dyDescent="0.25">
      <c r="A207" s="9">
        <v>43954</v>
      </c>
      <c r="B207" s="10" t="s">
        <v>17</v>
      </c>
      <c r="C207" s="10">
        <v>29935.5</v>
      </c>
      <c r="D207" s="10">
        <v>2720002.5</v>
      </c>
      <c r="E207" s="7">
        <f>SUMIFS(Лист2!C:C, Лист2!A:A, A207, Лист2!B:B, B207)</f>
        <v>20</v>
      </c>
      <c r="F207" s="7">
        <f>SUMIFS(Лист2!D:D, Лист2!A:A, A207, Лист2!B:B, B207)</f>
        <v>1716</v>
      </c>
      <c r="G207" s="7">
        <f>SUMIFS(Лист2!E:E, Лист2!A:A, A207, Лист2!B:B, B207)</f>
        <v>1561</v>
      </c>
      <c r="H207" s="7">
        <f t="shared" si="0"/>
        <v>136000.125</v>
      </c>
      <c r="I207" s="21">
        <f t="shared" si="4"/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SUMIFS(Лист2!C:C, Лист2!A:A, A208, Лист2!B:B, B208)</f>
        <v>37</v>
      </c>
      <c r="F208" s="7">
        <f>SUMIFS(Лист2!D:D, Лист2!A:A, A208, Лист2!B:B, B208)</f>
        <v>6645</v>
      </c>
      <c r="G208" s="7">
        <f>SUMIFS(Лист2!E:E, Лист2!A:A, A208, Лист2!B:B, B208)</f>
        <v>6122</v>
      </c>
      <c r="H208" s="7">
        <f t="shared" si="0"/>
        <v>245902.33783783784</v>
      </c>
      <c r="I208" s="21">
        <f t="shared" si="4"/>
        <v>22</v>
      </c>
    </row>
    <row r="209" spans="1:9" ht="14.25" customHeight="1" x14ac:dyDescent="0.25">
      <c r="A209" s="9">
        <v>43957</v>
      </c>
      <c r="B209" s="10" t="s">
        <v>17</v>
      </c>
      <c r="C209" s="10">
        <v>30342</v>
      </c>
      <c r="D209" s="10">
        <v>2738127</v>
      </c>
      <c r="E209" s="7">
        <f>SUMIFS(Лист2!C:C, Лист2!A:A, A209, Лист2!B:B, B209)</f>
        <v>20</v>
      </c>
      <c r="F209" s="7">
        <f>SUMIFS(Лист2!D:D, Лист2!A:A, A209, Лист2!B:B, B209)</f>
        <v>1747</v>
      </c>
      <c r="G209" s="7">
        <f>SUMIFS(Лист2!E:E, Лист2!A:A, A209, Лист2!B:B, B209)</f>
        <v>1570</v>
      </c>
      <c r="H209" s="7">
        <f t="shared" si="0"/>
        <v>136906.35</v>
      </c>
      <c r="I209" s="21">
        <f t="shared" si="4"/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SUMIFS(Лист2!C:C, Лист2!A:A, A210, Лист2!B:B, B210)</f>
        <v>21</v>
      </c>
      <c r="F210" s="7">
        <f>SUMIFS(Лист2!D:D, Лист2!A:A, A210, Лист2!B:B, B210)</f>
        <v>2460</v>
      </c>
      <c r="G210" s="7">
        <f>SUMIFS(Лист2!E:E, Лист2!A:A, A210, Лист2!B:B, B210)</f>
        <v>2226</v>
      </c>
      <c r="H210" s="7">
        <f t="shared" si="0"/>
        <v>184915</v>
      </c>
      <c r="I210" s="21">
        <f t="shared" si="4"/>
        <v>21</v>
      </c>
    </row>
    <row r="211" spans="1:9" ht="14.25" customHeight="1" x14ac:dyDescent="0.25">
      <c r="A211" s="9">
        <v>43979</v>
      </c>
      <c r="B211" s="10" t="s">
        <v>16</v>
      </c>
      <c r="C211" s="10">
        <v>69945</v>
      </c>
      <c r="D211" s="10">
        <v>6101931</v>
      </c>
      <c r="E211" s="7">
        <f>SUMIFS(Лист2!C:C, Лист2!A:A, A211, Лист2!B:B, B211)</f>
        <v>37</v>
      </c>
      <c r="F211" s="7">
        <f>SUMIFS(Лист2!D:D, Лист2!A:A, A211, Лист2!B:B, B211)</f>
        <v>4840</v>
      </c>
      <c r="G211" s="7">
        <f>SUMIFS(Лист2!E:E, Лист2!A:A, A211, Лист2!B:B, B211)</f>
        <v>4475</v>
      </c>
      <c r="H211" s="7">
        <f t="shared" si="0"/>
        <v>164917.05405405405</v>
      </c>
      <c r="I211" s="21">
        <f t="shared" si="4"/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SUMIFS(Лист2!C:C, Лист2!A:A, A212, Лист2!B:B, B212)</f>
        <v>21</v>
      </c>
      <c r="F212" s="7">
        <f>SUMIFS(Лист2!D:D, Лист2!A:A, A212, Лист2!B:B, B212)</f>
        <v>2330</v>
      </c>
      <c r="G212" s="7">
        <f>SUMIFS(Лист2!E:E, Лист2!A:A, A212, Лист2!B:B, B212)</f>
        <v>2142</v>
      </c>
      <c r="H212" s="7">
        <f t="shared" si="0"/>
        <v>169602.64285714287</v>
      </c>
      <c r="I212" s="21">
        <f t="shared" si="4"/>
        <v>22</v>
      </c>
    </row>
    <row r="213" spans="1:9" ht="14.25" customHeight="1" x14ac:dyDescent="0.25">
      <c r="A213" s="9">
        <v>43951</v>
      </c>
      <c r="B213" s="10" t="s">
        <v>17</v>
      </c>
      <c r="C213" s="10">
        <v>31231.5</v>
      </c>
      <c r="D213" s="10">
        <v>2853310.5</v>
      </c>
      <c r="E213" s="7">
        <f>SUMIFS(Лист2!C:C, Лист2!A:A, A213, Лист2!B:B, B213)</f>
        <v>20</v>
      </c>
      <c r="F213" s="7">
        <f>SUMIFS(Лист2!D:D, Лист2!A:A, A213, Лист2!B:B, B213)</f>
        <v>1756</v>
      </c>
      <c r="G213" s="7">
        <f>SUMIFS(Лист2!E:E, Лист2!A:A, A213, Лист2!B:B, B213)</f>
        <v>1586</v>
      </c>
      <c r="H213" s="7">
        <f t="shared" si="0"/>
        <v>142665.52499999999</v>
      </c>
      <c r="I213" s="21">
        <f t="shared" si="4"/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SUMIFS(Лист2!C:C, Лист2!A:A, A214, Лист2!B:B, B214)</f>
        <v>21</v>
      </c>
      <c r="F214" s="7">
        <f>SUMIFS(Лист2!D:D, Лист2!A:A, A214, Лист2!B:B, B214)</f>
        <v>2120</v>
      </c>
      <c r="G214" s="7">
        <f>SUMIFS(Лист2!E:E, Лист2!A:A, A214, Лист2!B:B, B214)</f>
        <v>1921</v>
      </c>
      <c r="H214" s="7">
        <f t="shared" si="0"/>
        <v>169004.64285714287</v>
      </c>
      <c r="I214" s="21">
        <f t="shared" si="4"/>
        <v>19</v>
      </c>
    </row>
    <row r="215" spans="1:9" ht="14.25" customHeight="1" x14ac:dyDescent="0.25">
      <c r="A215" s="9">
        <v>43959</v>
      </c>
      <c r="B215" s="10" t="s">
        <v>17</v>
      </c>
      <c r="C215" s="10">
        <v>34399.5</v>
      </c>
      <c r="D215" s="10">
        <v>3201358.5</v>
      </c>
      <c r="E215" s="7">
        <f>SUMIFS(Лист2!C:C, Лист2!A:A, A215, Лист2!B:B, B215)</f>
        <v>21</v>
      </c>
      <c r="F215" s="7">
        <f>SUMIFS(Лист2!D:D, Лист2!A:A, A215, Лист2!B:B, B215)</f>
        <v>1957</v>
      </c>
      <c r="G215" s="7">
        <f>SUMIFS(Лист2!E:E, Лист2!A:A, A215, Лист2!B:B, B215)</f>
        <v>1755</v>
      </c>
      <c r="H215" s="7">
        <f t="shared" si="0"/>
        <v>152445.64285714287</v>
      </c>
      <c r="I215" s="21">
        <f t="shared" si="4"/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SUMIFS(Лист2!C:C, Лист2!A:A, A216, Лист2!B:B, B216)</f>
        <v>21</v>
      </c>
      <c r="F216" s="7">
        <f>SUMIFS(Лист2!D:D, Лист2!A:A, A216, Лист2!B:B, B216)</f>
        <v>1879</v>
      </c>
      <c r="G216" s="7">
        <f>SUMIFS(Лист2!E:E, Лист2!A:A, A216, Лист2!B:B, B216)</f>
        <v>1695</v>
      </c>
      <c r="H216" s="7">
        <f t="shared" si="0"/>
        <v>139738.28571428571</v>
      </c>
      <c r="I216" s="21">
        <f t="shared" si="4"/>
        <v>19</v>
      </c>
    </row>
    <row r="217" spans="1:9" ht="14.25" customHeight="1" x14ac:dyDescent="0.25">
      <c r="A217" s="9">
        <v>43975</v>
      </c>
      <c r="B217" s="10" t="s">
        <v>17</v>
      </c>
      <c r="C217" s="10">
        <v>38194.5</v>
      </c>
      <c r="D217" s="10">
        <v>3449302.5</v>
      </c>
      <c r="E217" s="7">
        <f>SUMIFS(Лист2!C:C, Лист2!A:A, A217, Лист2!B:B, B217)</f>
        <v>21</v>
      </c>
      <c r="F217" s="7">
        <f>SUMIFS(Лист2!D:D, Лист2!A:A, A217, Лист2!B:B, B217)</f>
        <v>2254</v>
      </c>
      <c r="G217" s="7">
        <f>SUMIFS(Лист2!E:E, Лист2!A:A, A217, Лист2!B:B, B217)</f>
        <v>2061</v>
      </c>
      <c r="H217" s="7">
        <f t="shared" si="0"/>
        <v>164252.5</v>
      </c>
      <c r="I217" s="21">
        <f t="shared" si="4"/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SUMIFS(Лист2!C:C, Лист2!A:A, A218, Лист2!B:B, B218)</f>
        <v>23</v>
      </c>
      <c r="F218" s="7">
        <f>SUMIFS(Лист2!D:D, Лист2!A:A, A218, Лист2!B:B, B218)</f>
        <v>2522</v>
      </c>
      <c r="G218" s="7">
        <f>SUMIFS(Лист2!E:E, Лист2!A:A, A218, Лист2!B:B, B218)</f>
        <v>2295</v>
      </c>
      <c r="H218" s="7">
        <f t="shared" si="0"/>
        <v>173658.84782608695</v>
      </c>
      <c r="I218" s="21">
        <f t="shared" si="4"/>
        <v>22</v>
      </c>
    </row>
    <row r="219" spans="1:9" ht="14.25" customHeight="1" x14ac:dyDescent="0.25">
      <c r="A219" s="9">
        <v>43981</v>
      </c>
      <c r="B219" s="10" t="s">
        <v>17</v>
      </c>
      <c r="C219" s="10">
        <v>48286.5</v>
      </c>
      <c r="D219" s="10">
        <v>4456441.5</v>
      </c>
      <c r="E219" s="7">
        <f>SUMIFS(Лист2!C:C, Лист2!A:A, A219, Лист2!B:B, B219)</f>
        <v>22</v>
      </c>
      <c r="F219" s="7">
        <f>SUMIFS(Лист2!D:D, Лист2!A:A, A219, Лист2!B:B, B219)</f>
        <v>2793</v>
      </c>
      <c r="G219" s="7">
        <f>SUMIFS(Лист2!E:E, Лист2!A:A, A219, Лист2!B:B, B219)</f>
        <v>2539</v>
      </c>
      <c r="H219" s="7">
        <f t="shared" si="0"/>
        <v>202565.52272727274</v>
      </c>
      <c r="I219" s="21">
        <f t="shared" si="4"/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SUMIFS(Лист2!C:C, Лист2!A:A, A220, Лист2!B:B, B220)</f>
        <v>22</v>
      </c>
      <c r="F220" s="7">
        <f>SUMIFS(Лист2!D:D, Лист2!A:A, A220, Лист2!B:B, B220)</f>
        <v>2454</v>
      </c>
      <c r="G220" s="7">
        <f>SUMIFS(Лист2!E:E, Лист2!A:A, A220, Лист2!B:B, B220)</f>
        <v>2239</v>
      </c>
      <c r="H220" s="7">
        <f t="shared" si="0"/>
        <v>176985.47727272726</v>
      </c>
      <c r="I220" s="21">
        <f t="shared" si="4"/>
        <v>22</v>
      </c>
    </row>
    <row r="221" spans="1:9" ht="14.25" customHeight="1" x14ac:dyDescent="0.25">
      <c r="A221" s="9">
        <v>43967</v>
      </c>
      <c r="B221" s="10" t="s">
        <v>18</v>
      </c>
      <c r="C221" s="10">
        <v>18600</v>
      </c>
      <c r="D221" s="10">
        <v>1601425.5</v>
      </c>
      <c r="E221" s="7">
        <f>SUMIFS(Лист2!C:C, Лист2!A:A, A221, Лист2!B:B, B221)</f>
        <v>15</v>
      </c>
      <c r="F221" s="7">
        <f>SUMIFS(Лист2!D:D, Лист2!A:A, A221, Лист2!B:B, B221)</f>
        <v>1111</v>
      </c>
      <c r="G221" s="7">
        <f>SUMIFS(Лист2!E:E, Лист2!A:A, A221, Лист2!B:B, B221)</f>
        <v>992</v>
      </c>
      <c r="H221" s="7">
        <f t="shared" si="0"/>
        <v>106761.7</v>
      </c>
      <c r="I221" s="21">
        <f t="shared" si="4"/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SUMIFS(Лист2!C:C, Лист2!A:A, A222, Лист2!B:B, B222)</f>
        <v>16</v>
      </c>
      <c r="F222" s="7">
        <f>SUMIFS(Лист2!D:D, Лист2!A:A, A222, Лист2!B:B, B222)</f>
        <v>1012</v>
      </c>
      <c r="G222" s="7">
        <f>SUMIFS(Лист2!E:E, Лист2!A:A, A222, Лист2!B:B, B222)</f>
        <v>900</v>
      </c>
      <c r="H222" s="7">
        <f t="shared" si="0"/>
        <v>85302.9375</v>
      </c>
      <c r="I222" s="21">
        <f t="shared" si="4"/>
        <v>21</v>
      </c>
    </row>
    <row r="223" spans="1:9" ht="14.25" customHeight="1" x14ac:dyDescent="0.25">
      <c r="A223" s="9">
        <v>43968</v>
      </c>
      <c r="B223" s="10" t="s">
        <v>18</v>
      </c>
      <c r="C223" s="10">
        <v>15609</v>
      </c>
      <c r="D223" s="10">
        <v>1377577.5</v>
      </c>
      <c r="E223" s="7">
        <f>SUMIFS(Лист2!C:C, Лист2!A:A, A223, Лист2!B:B, B223)</f>
        <v>15</v>
      </c>
      <c r="F223" s="7">
        <f>SUMIFS(Лист2!D:D, Лист2!A:A, A223, Лист2!B:B, B223)</f>
        <v>971</v>
      </c>
      <c r="G223" s="7">
        <f>SUMIFS(Лист2!E:E, Лист2!A:A, A223, Лист2!B:B, B223)</f>
        <v>856</v>
      </c>
      <c r="H223" s="7">
        <f t="shared" si="0"/>
        <v>91838.5</v>
      </c>
      <c r="I223" s="21">
        <f t="shared" si="4"/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SUMIFS(Лист2!C:C, Лист2!A:A, A224, Лист2!B:B, B224)</f>
        <v>15</v>
      </c>
      <c r="F224" s="7">
        <f>SUMIFS(Лист2!D:D, Лист2!A:A, A224, Лист2!B:B, B224)</f>
        <v>849</v>
      </c>
      <c r="G224" s="7">
        <f>SUMIFS(Лист2!E:E, Лист2!A:A, A224, Лист2!B:B, B224)</f>
        <v>740</v>
      </c>
      <c r="H224" s="7">
        <f t="shared" si="0"/>
        <v>81528.800000000003</v>
      </c>
      <c r="I224" s="21">
        <f t="shared" si="4"/>
        <v>19</v>
      </c>
    </row>
    <row r="225" spans="1:9" ht="14.25" customHeight="1" x14ac:dyDescent="0.25">
      <c r="A225" s="9">
        <v>43955</v>
      </c>
      <c r="B225" s="10" t="s">
        <v>18</v>
      </c>
      <c r="C225" s="10">
        <v>12301.5</v>
      </c>
      <c r="D225" s="10">
        <v>1085211</v>
      </c>
      <c r="E225" s="7">
        <f>SUMIFS(Лист2!C:C, Лист2!A:A, A225, Лист2!B:B, B225)</f>
        <v>15</v>
      </c>
      <c r="F225" s="7">
        <f>SUMIFS(Лист2!D:D, Лист2!A:A, A225, Лист2!B:B, B225)</f>
        <v>750</v>
      </c>
      <c r="G225" s="7">
        <f>SUMIFS(Лист2!E:E, Лист2!A:A, A225, Лист2!B:B, B225)</f>
        <v>647</v>
      </c>
      <c r="H225" s="7">
        <f t="shared" si="0"/>
        <v>72347.399999999994</v>
      </c>
      <c r="I225" s="21">
        <f t="shared" si="4"/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SUMIFS(Лист2!C:C, Лист2!A:A, A226, Лист2!B:B, B226)</f>
        <v>15</v>
      </c>
      <c r="F226" s="7">
        <f>SUMIFS(Лист2!D:D, Лист2!A:A, A226, Лист2!B:B, B226)</f>
        <v>786</v>
      </c>
      <c r="G226" s="7">
        <f>SUMIFS(Лист2!E:E, Лист2!A:A, A226, Лист2!B:B, B226)</f>
        <v>695</v>
      </c>
      <c r="H226" s="7">
        <f t="shared" si="0"/>
        <v>74399.5</v>
      </c>
      <c r="I226" s="21">
        <f t="shared" si="4"/>
        <v>18</v>
      </c>
    </row>
    <row r="227" spans="1:9" ht="14.25" customHeight="1" x14ac:dyDescent="0.25">
      <c r="A227" s="9">
        <v>43953</v>
      </c>
      <c r="B227" s="10" t="s">
        <v>18</v>
      </c>
      <c r="C227" s="10">
        <v>12313.5</v>
      </c>
      <c r="D227" s="10">
        <v>1053220.5</v>
      </c>
      <c r="E227" s="7">
        <f>SUMIFS(Лист2!C:C, Лист2!A:A, A227, Лист2!B:B, B227)</f>
        <v>15</v>
      </c>
      <c r="F227" s="7">
        <f>SUMIFS(Лист2!D:D, Лист2!A:A, A227, Лист2!B:B, B227)</f>
        <v>751</v>
      </c>
      <c r="G227" s="7">
        <f>SUMIFS(Лист2!E:E, Лист2!A:A, A227, Лист2!B:B, B227)</f>
        <v>651</v>
      </c>
      <c r="H227" s="7">
        <f t="shared" si="0"/>
        <v>70214.7</v>
      </c>
      <c r="I227" s="21">
        <f t="shared" si="4"/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SUMIFS(Лист2!C:C, Лист2!A:A, A228, Лист2!B:B, B228)</f>
        <v>17</v>
      </c>
      <c r="F228" s="7">
        <f>SUMIFS(Лист2!D:D, Лист2!A:A, A228, Лист2!B:B, B228)</f>
        <v>1140</v>
      </c>
      <c r="G228" s="7">
        <f>SUMIFS(Лист2!E:E, Лист2!A:A, A228, Лист2!B:B, B228)</f>
        <v>1016</v>
      </c>
      <c r="H228" s="7">
        <f t="shared" si="0"/>
        <v>87596.029411764699</v>
      </c>
      <c r="I228" s="21">
        <f t="shared" si="4"/>
        <v>22</v>
      </c>
    </row>
    <row r="229" spans="1:9" ht="14.25" customHeight="1" x14ac:dyDescent="0.25">
      <c r="A229" s="9">
        <v>43952</v>
      </c>
      <c r="B229" s="10" t="s">
        <v>18</v>
      </c>
      <c r="C229" s="10">
        <v>17113.5</v>
      </c>
      <c r="D229" s="10">
        <v>1465842</v>
      </c>
      <c r="E229" s="7">
        <f>SUMIFS(Лист2!C:C, Лист2!A:A, A229, Лист2!B:B, B229)</f>
        <v>15</v>
      </c>
      <c r="F229" s="7">
        <f>SUMIFS(Лист2!D:D, Лист2!A:A, A229, Лист2!B:B, B229)</f>
        <v>996</v>
      </c>
      <c r="G229" s="7">
        <f>SUMIFS(Лист2!E:E, Лист2!A:A, A229, Лист2!B:B, B229)</f>
        <v>888</v>
      </c>
      <c r="H229" s="7">
        <f t="shared" si="0"/>
        <v>97722.8</v>
      </c>
      <c r="I229" s="21">
        <f t="shared" si="4"/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SUMIFS(Лист2!C:C, Лист2!A:A, A230, Лист2!B:B, B230)</f>
        <v>15</v>
      </c>
      <c r="F230" s="7">
        <f>SUMIFS(Лист2!D:D, Лист2!A:A, A230, Лист2!B:B, B230)</f>
        <v>845</v>
      </c>
      <c r="G230" s="7">
        <f>SUMIFS(Лист2!E:E, Лист2!A:A, A230, Лист2!B:B, B230)</f>
        <v>743</v>
      </c>
      <c r="H230" s="7">
        <f t="shared" si="0"/>
        <v>74922</v>
      </c>
      <c r="I230" s="21">
        <f t="shared" si="4"/>
        <v>20</v>
      </c>
    </row>
    <row r="231" spans="1:9" ht="14.25" customHeight="1" x14ac:dyDescent="0.25">
      <c r="A231" s="9">
        <v>43972</v>
      </c>
      <c r="B231" s="10" t="s">
        <v>18</v>
      </c>
      <c r="C231" s="10">
        <v>16554</v>
      </c>
      <c r="D231" s="10">
        <v>1380751.5</v>
      </c>
      <c r="E231" s="7">
        <f>SUMIFS(Лист2!C:C, Лист2!A:A, A231, Лист2!B:B, B231)</f>
        <v>17</v>
      </c>
      <c r="F231" s="7">
        <f>SUMIFS(Лист2!D:D, Лист2!A:A, A231, Лист2!B:B, B231)</f>
        <v>1045</v>
      </c>
      <c r="G231" s="7">
        <f>SUMIFS(Лист2!E:E, Лист2!A:A, A231, Лист2!B:B, B231)</f>
        <v>930</v>
      </c>
      <c r="H231" s="7">
        <f t="shared" si="0"/>
        <v>81220.676470588238</v>
      </c>
      <c r="I231" s="21">
        <f t="shared" si="4"/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SUMIFS(Лист2!C:C, Лист2!A:A, A232, Лист2!B:B, B232)</f>
        <v>16</v>
      </c>
      <c r="F232" s="7">
        <f>SUMIFS(Лист2!D:D, Лист2!A:A, A232, Лист2!B:B, B232)</f>
        <v>1050</v>
      </c>
      <c r="G232" s="7">
        <f>SUMIFS(Лист2!E:E, Лист2!A:A, A232, Лист2!B:B, B232)</f>
        <v>938</v>
      </c>
      <c r="H232" s="7">
        <f t="shared" si="0"/>
        <v>89390.90625</v>
      </c>
      <c r="I232" s="21">
        <f t="shared" si="4"/>
        <v>21</v>
      </c>
    </row>
    <row r="233" spans="1:9" ht="14.25" customHeight="1" x14ac:dyDescent="0.25">
      <c r="A233" s="9">
        <v>43956</v>
      </c>
      <c r="B233" s="10" t="s">
        <v>18</v>
      </c>
      <c r="C233" s="10">
        <v>15987</v>
      </c>
      <c r="D233" s="10">
        <v>1384179</v>
      </c>
      <c r="E233" s="7">
        <f>SUMIFS(Лист2!C:C, Лист2!A:A, A233, Лист2!B:B, B233)</f>
        <v>15</v>
      </c>
      <c r="F233" s="7">
        <f>SUMIFS(Лист2!D:D, Лист2!A:A, A233, Лист2!B:B, B233)</f>
        <v>922</v>
      </c>
      <c r="G233" s="7">
        <f>SUMIFS(Лист2!E:E, Лист2!A:A, A233, Лист2!B:B, B233)</f>
        <v>823</v>
      </c>
      <c r="H233" s="7">
        <f t="shared" si="0"/>
        <v>92278.6</v>
      </c>
      <c r="I233" s="21">
        <f t="shared" si="4"/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SUMIFS(Лист2!C:C, Лист2!A:A, A234, Лист2!B:B, B234)</f>
        <v>15</v>
      </c>
      <c r="F234" s="7">
        <f>SUMIFS(Лист2!D:D, Лист2!A:A, A234, Лист2!B:B, B234)</f>
        <v>780</v>
      </c>
      <c r="G234" s="7">
        <f>SUMIFS(Лист2!E:E, Лист2!A:A, A234, Лист2!B:B, B234)</f>
        <v>690</v>
      </c>
      <c r="H234" s="7">
        <f t="shared" si="0"/>
        <v>73525.8</v>
      </c>
      <c r="I234" s="21">
        <f t="shared" si="4"/>
        <v>18</v>
      </c>
    </row>
    <row r="235" spans="1:9" ht="14.25" customHeight="1" x14ac:dyDescent="0.25">
      <c r="A235" s="9">
        <v>43964</v>
      </c>
      <c r="B235" s="10" t="s">
        <v>18</v>
      </c>
      <c r="C235" s="10">
        <v>14305.5</v>
      </c>
      <c r="D235" s="10">
        <v>1243507.5</v>
      </c>
      <c r="E235" s="7">
        <f>SUMIFS(Лист2!C:C, Лист2!A:A, A235, Лист2!B:B, B235)</f>
        <v>15</v>
      </c>
      <c r="F235" s="7">
        <f>SUMIFS(Лист2!D:D, Лист2!A:A, A235, Лист2!B:B, B235)</f>
        <v>898</v>
      </c>
      <c r="G235" s="7">
        <f>SUMIFS(Лист2!E:E, Лист2!A:A, A235, Лист2!B:B, B235)</f>
        <v>795</v>
      </c>
      <c r="H235" s="7">
        <f t="shared" si="0"/>
        <v>82900.5</v>
      </c>
      <c r="I235" s="21">
        <f t="shared" si="4"/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SUMIFS(Лист2!C:C, Лист2!A:A, A236, Лист2!B:B, B236)</f>
        <v>15</v>
      </c>
      <c r="F236" s="7">
        <f>SUMIFS(Лист2!D:D, Лист2!A:A, A236, Лист2!B:B, B236)</f>
        <v>784</v>
      </c>
      <c r="G236" s="7">
        <f>SUMIFS(Лист2!E:E, Лист2!A:A, A236, Лист2!B:B, B236)</f>
        <v>696</v>
      </c>
      <c r="H236" s="7">
        <f t="shared" si="0"/>
        <v>74667.3</v>
      </c>
      <c r="I236" s="21">
        <f t="shared" si="4"/>
        <v>18</v>
      </c>
    </row>
    <row r="237" spans="1:9" ht="14.25" customHeight="1" x14ac:dyDescent="0.25">
      <c r="A237" s="9">
        <v>43957</v>
      </c>
      <c r="B237" s="10" t="s">
        <v>18</v>
      </c>
      <c r="C237" s="10">
        <v>14061</v>
      </c>
      <c r="D237" s="10">
        <v>1221057</v>
      </c>
      <c r="E237" s="7">
        <f>SUMIFS(Лист2!C:C, Лист2!A:A, A237, Лист2!B:B, B237)</f>
        <v>15</v>
      </c>
      <c r="F237" s="7">
        <f>SUMIFS(Лист2!D:D, Лист2!A:A, A237, Лист2!B:B, B237)</f>
        <v>839</v>
      </c>
      <c r="G237" s="7">
        <f>SUMIFS(Лист2!E:E, Лист2!A:A, A237, Лист2!B:B, B237)</f>
        <v>733</v>
      </c>
      <c r="H237" s="7">
        <f t="shared" si="0"/>
        <v>81403.8</v>
      </c>
      <c r="I237" s="21">
        <f t="shared" si="4"/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SUMIFS(Лист2!C:C, Лист2!A:A, A238, Лист2!B:B, B238)</f>
        <v>17</v>
      </c>
      <c r="F238" s="7">
        <f>SUMIFS(Лист2!D:D, Лист2!A:A, A238, Лист2!B:B, B238)</f>
        <v>1294</v>
      </c>
      <c r="G238" s="7">
        <f>SUMIFS(Лист2!E:E, Лист2!A:A, A238, Лист2!B:B, B238)</f>
        <v>1155</v>
      </c>
      <c r="H238" s="7">
        <f t="shared" si="0"/>
        <v>109058.91176470589</v>
      </c>
      <c r="I238" s="21">
        <f t="shared" si="4"/>
        <v>21</v>
      </c>
    </row>
    <row r="239" spans="1:9" ht="14.25" customHeight="1" x14ac:dyDescent="0.25">
      <c r="A239" s="9">
        <v>43976</v>
      </c>
      <c r="B239" s="10" t="s">
        <v>18</v>
      </c>
      <c r="C239" s="10">
        <v>17211</v>
      </c>
      <c r="D239" s="10">
        <v>1507867.5</v>
      </c>
      <c r="E239" s="7">
        <f>SUMIFS(Лист2!C:C, Лист2!A:A, A239, Лист2!B:B, B239)</f>
        <v>17</v>
      </c>
      <c r="F239" s="7">
        <f>SUMIFS(Лист2!D:D, Лист2!A:A, A239, Лист2!B:B, B239)</f>
        <v>1142</v>
      </c>
      <c r="G239" s="7">
        <f>SUMIFS(Лист2!E:E, Лист2!A:A, A239, Лист2!B:B, B239)</f>
        <v>1020</v>
      </c>
      <c r="H239" s="7">
        <f t="shared" si="0"/>
        <v>88698.088235294112</v>
      </c>
      <c r="I239" s="21">
        <f t="shared" si="4"/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SUMIFS(Лист2!C:C, Лист2!A:A, A240, Лист2!B:B, B240)</f>
        <v>15</v>
      </c>
      <c r="F240" s="7">
        <f>SUMIFS(Лист2!D:D, Лист2!A:A, A240, Лист2!B:B, B240)</f>
        <v>791</v>
      </c>
      <c r="G240" s="7">
        <f>SUMIFS(Лист2!E:E, Лист2!A:A, A240, Лист2!B:B, B240)</f>
        <v>691</v>
      </c>
      <c r="H240" s="7">
        <f t="shared" si="0"/>
        <v>73537.899999999994</v>
      </c>
      <c r="I240" s="21">
        <f t="shared" si="4"/>
        <v>18</v>
      </c>
    </row>
    <row r="241" spans="1:9" ht="14.25" customHeight="1" x14ac:dyDescent="0.25">
      <c r="A241" s="9">
        <v>43961</v>
      </c>
      <c r="B241" s="10" t="s">
        <v>18</v>
      </c>
      <c r="C241" s="10">
        <v>16435.5</v>
      </c>
      <c r="D241" s="10">
        <v>1471537.5</v>
      </c>
      <c r="E241" s="7">
        <f>SUMIFS(Лист2!C:C, Лист2!A:A, A241, Лист2!B:B, B241)</f>
        <v>15</v>
      </c>
      <c r="F241" s="7">
        <f>SUMIFS(Лист2!D:D, Лист2!A:A, A241, Лист2!B:B, B241)</f>
        <v>950</v>
      </c>
      <c r="G241" s="7">
        <f>SUMIFS(Лист2!E:E, Лист2!A:A, A241, Лист2!B:B, B241)</f>
        <v>848</v>
      </c>
      <c r="H241" s="7">
        <f t="shared" si="0"/>
        <v>98102.5</v>
      </c>
      <c r="I241" s="21">
        <f t="shared" si="4"/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SUMIFS(Лист2!C:C, Лист2!A:A, A242, Лист2!B:B, B242)</f>
        <v>15</v>
      </c>
      <c r="F242" s="7">
        <f>SUMIFS(Лист2!D:D, Лист2!A:A, A242, Лист2!B:B, B242)</f>
        <v>879</v>
      </c>
      <c r="G242" s="7">
        <f>SUMIFS(Лист2!E:E, Лист2!A:A, A242, Лист2!B:B, B242)</f>
        <v>768</v>
      </c>
      <c r="H242" s="7">
        <f t="shared" si="0"/>
        <v>84652.4</v>
      </c>
      <c r="I242" s="21">
        <f t="shared" si="4"/>
        <v>19</v>
      </c>
    </row>
    <row r="243" spans="1:9" ht="14.25" customHeight="1" x14ac:dyDescent="0.25">
      <c r="A243" s="9">
        <v>43958</v>
      </c>
      <c r="B243" s="10" t="s">
        <v>18</v>
      </c>
      <c r="C243" s="10">
        <v>12705</v>
      </c>
      <c r="D243" s="10">
        <v>1123894.5</v>
      </c>
      <c r="E243" s="7">
        <f>SUMIFS(Лист2!C:C, Лист2!A:A, A243, Лист2!B:B, B243)</f>
        <v>15</v>
      </c>
      <c r="F243" s="7">
        <f>SUMIFS(Лист2!D:D, Лист2!A:A, A243, Лист2!B:B, B243)</f>
        <v>805</v>
      </c>
      <c r="G243" s="7">
        <f>SUMIFS(Лист2!E:E, Лист2!A:A, A243, Лист2!B:B, B243)</f>
        <v>703</v>
      </c>
      <c r="H243" s="7">
        <f t="shared" si="0"/>
        <v>74926.3</v>
      </c>
      <c r="I243" s="21">
        <f t="shared" si="4"/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SUMIFS(Лист2!C:C, Лист2!A:A, A244, Лист2!B:B, B244)</f>
        <v>17</v>
      </c>
      <c r="F244" s="7">
        <f>SUMIFS(Лист2!D:D, Лист2!A:A, A244, Лист2!B:B, B244)</f>
        <v>1128</v>
      </c>
      <c r="G244" s="7">
        <f>SUMIFS(Лист2!E:E, Лист2!A:A, A244, Лист2!B:B, B244)</f>
        <v>1001</v>
      </c>
      <c r="H244" s="7">
        <f t="shared" si="0"/>
        <v>91064.647058823524</v>
      </c>
      <c r="I244" s="21">
        <f t="shared" si="4"/>
        <v>21</v>
      </c>
    </row>
    <row r="245" spans="1:9" ht="14.25" customHeight="1" x14ac:dyDescent="0.25">
      <c r="A245" s="9">
        <v>43967</v>
      </c>
      <c r="B245" s="10" t="s">
        <v>19</v>
      </c>
      <c r="C245" s="10">
        <v>13120.5</v>
      </c>
      <c r="D245" s="10">
        <v>1215033</v>
      </c>
      <c r="E245" s="7">
        <f>SUMIFS(Лист2!C:C, Лист2!A:A, A245, Лист2!B:B, B245)</f>
        <v>15</v>
      </c>
      <c r="F245" s="7">
        <f>SUMIFS(Лист2!D:D, Лист2!A:A, A245, Лист2!B:B, B245)</f>
        <v>747</v>
      </c>
      <c r="G245" s="7">
        <f>SUMIFS(Лист2!E:E, Лист2!A:A, A245, Лист2!B:B, B245)</f>
        <v>647</v>
      </c>
      <c r="H245" s="7">
        <f t="shared" si="0"/>
        <v>81002.2</v>
      </c>
      <c r="I245" s="21">
        <f t="shared" si="4"/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SUMIFS(Лист2!C:C, Лист2!A:A, A246, Лист2!B:B, B246)</f>
        <v>15</v>
      </c>
      <c r="F246" s="7">
        <f>SUMIFS(Лист2!D:D, Лист2!A:A, A246, Лист2!B:B, B246)</f>
        <v>930</v>
      </c>
      <c r="G246" s="7">
        <f>SUMIFS(Лист2!E:E, Лист2!A:A, A246, Лист2!B:B, B246)</f>
        <v>827</v>
      </c>
      <c r="H246" s="7">
        <f t="shared" si="0"/>
        <v>93536.5</v>
      </c>
      <c r="I246" s="21">
        <f t="shared" si="4"/>
        <v>21</v>
      </c>
    </row>
    <row r="247" spans="1:9" ht="14.25" customHeight="1" x14ac:dyDescent="0.25">
      <c r="A247" s="9">
        <v>43968</v>
      </c>
      <c r="B247" s="10" t="s">
        <v>19</v>
      </c>
      <c r="C247" s="10">
        <v>11967</v>
      </c>
      <c r="D247" s="10">
        <v>1060489.5</v>
      </c>
      <c r="E247" s="7">
        <f>SUMIFS(Лист2!C:C, Лист2!A:A, A247, Лист2!B:B, B247)</f>
        <v>15</v>
      </c>
      <c r="F247" s="7">
        <f>SUMIFS(Лист2!D:D, Лист2!A:A, A247, Лист2!B:B, B247)</f>
        <v>692</v>
      </c>
      <c r="G247" s="7">
        <f>SUMIFS(Лист2!E:E, Лист2!A:A, A247, Лист2!B:B, B247)</f>
        <v>591</v>
      </c>
      <c r="H247" s="7">
        <f t="shared" si="0"/>
        <v>70699.3</v>
      </c>
      <c r="I247" s="21">
        <f t="shared" si="4"/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SUMIFS(Лист2!C:C, Лист2!A:A, A248, Лист2!B:B, B248)</f>
        <v>15</v>
      </c>
      <c r="F248" s="7">
        <f>SUMIFS(Лист2!D:D, Лист2!A:A, A248, Лист2!B:B, B248)</f>
        <v>623</v>
      </c>
      <c r="G248" s="7">
        <f>SUMIFS(Лист2!E:E, Лист2!A:A, A248, Лист2!B:B, B248)</f>
        <v>535</v>
      </c>
      <c r="H248" s="7">
        <f t="shared" si="0"/>
        <v>72081.100000000006</v>
      </c>
      <c r="I248" s="21">
        <f t="shared" si="4"/>
        <v>19</v>
      </c>
    </row>
    <row r="249" spans="1:9" ht="14.25" customHeight="1" x14ac:dyDescent="0.25">
      <c r="A249" s="9">
        <v>43955</v>
      </c>
      <c r="B249" s="10" t="s">
        <v>19</v>
      </c>
      <c r="C249" s="10">
        <v>7087.5</v>
      </c>
      <c r="D249" s="10">
        <v>610855.5</v>
      </c>
      <c r="E249" s="7">
        <f>SUMIFS(Лист2!C:C, Лист2!A:A, A249, Лист2!B:B, B249)</f>
        <v>15</v>
      </c>
      <c r="F249" s="7">
        <f>SUMIFS(Лист2!D:D, Лист2!A:A, A249, Лист2!B:B, B249)</f>
        <v>390</v>
      </c>
      <c r="G249" s="7">
        <f>SUMIFS(Лист2!E:E, Лист2!A:A, A249, Лист2!B:B, B249)</f>
        <v>315</v>
      </c>
      <c r="H249" s="7">
        <f t="shared" si="0"/>
        <v>40723.699999999997</v>
      </c>
      <c r="I249" s="21">
        <f t="shared" si="4"/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SUMIFS(Лист2!C:C, Лист2!A:A, A250, Лист2!B:B, B250)</f>
        <v>18</v>
      </c>
      <c r="F250" s="7">
        <f>SUMIFS(Лист2!D:D, Лист2!A:A, A250, Лист2!B:B, B250)</f>
        <v>1599</v>
      </c>
      <c r="G250" s="7">
        <f>SUMIFS(Лист2!E:E, Лист2!A:A, A250, Лист2!B:B, B250)</f>
        <v>1450</v>
      </c>
      <c r="H250" s="7">
        <f t="shared" si="0"/>
        <v>131161.91666666666</v>
      </c>
      <c r="I250" s="21">
        <f t="shared" si="4"/>
        <v>18</v>
      </c>
    </row>
    <row r="251" spans="1:9" ht="14.25" customHeight="1" x14ac:dyDescent="0.25">
      <c r="A251" s="9">
        <v>43953</v>
      </c>
      <c r="B251" s="10" t="s">
        <v>19</v>
      </c>
      <c r="C251" s="10">
        <v>4624.5</v>
      </c>
      <c r="D251" s="10">
        <v>433243.5</v>
      </c>
      <c r="E251" s="7">
        <f>SUMIFS(Лист2!C:C, Лист2!A:A, A251, Лист2!B:B, B251)</f>
        <v>15</v>
      </c>
      <c r="F251" s="7">
        <f>SUMIFS(Лист2!D:D, Лист2!A:A, A251, Лист2!B:B, B251)</f>
        <v>274</v>
      </c>
      <c r="G251" s="7">
        <f>SUMIFS(Лист2!E:E, Лист2!A:A, A251, Лист2!B:B, B251)</f>
        <v>203</v>
      </c>
      <c r="H251" s="7">
        <f t="shared" si="0"/>
        <v>28882.9</v>
      </c>
      <c r="I251" s="21">
        <f t="shared" si="4"/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SUMIFS(Лист2!C:C, Лист2!A:A, A252, Лист2!B:B, B252)</f>
        <v>15</v>
      </c>
      <c r="F252" s="7">
        <f>SUMIFS(Лист2!D:D, Лист2!A:A, A252, Лист2!B:B, B252)</f>
        <v>812</v>
      </c>
      <c r="G252" s="7">
        <f>SUMIFS(Лист2!E:E, Лист2!A:A, A252, Лист2!B:B, B252)</f>
        <v>711</v>
      </c>
      <c r="H252" s="7">
        <f t="shared" si="0"/>
        <v>76803.600000000006</v>
      </c>
      <c r="I252" s="21">
        <f t="shared" si="4"/>
        <v>22</v>
      </c>
    </row>
    <row r="253" spans="1:9" ht="14.25" customHeight="1" x14ac:dyDescent="0.25">
      <c r="A253" s="9">
        <v>43952</v>
      </c>
      <c r="B253" s="10" t="s">
        <v>19</v>
      </c>
      <c r="C253" s="10">
        <v>5446.5</v>
      </c>
      <c r="D253" s="10">
        <v>505572</v>
      </c>
      <c r="E253" s="7">
        <f>SUMIFS(Лист2!C:C, Лист2!A:A, A253, Лист2!B:B, B253)</f>
        <v>15</v>
      </c>
      <c r="F253" s="7">
        <f>SUMIFS(Лист2!D:D, Лист2!A:A, A253, Лист2!B:B, B253)</f>
        <v>294</v>
      </c>
      <c r="G253" s="7">
        <f>SUMIFS(Лист2!E:E, Лист2!A:A, A253, Лист2!B:B, B253)</f>
        <v>225</v>
      </c>
      <c r="H253" s="7">
        <f t="shared" si="0"/>
        <v>33704.800000000003</v>
      </c>
      <c r="I253" s="21">
        <f t="shared" si="4"/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SUMIFS(Лист2!C:C, Лист2!A:A, A254, Лист2!B:B, B254)</f>
        <v>15</v>
      </c>
      <c r="F254" s="7">
        <f>SUMIFS(Лист2!D:D, Лист2!A:A, A254, Лист2!B:B, B254)</f>
        <v>624</v>
      </c>
      <c r="G254" s="7">
        <f>SUMIFS(Лист2!E:E, Лист2!A:A, A254, Лист2!B:B, B254)</f>
        <v>538</v>
      </c>
      <c r="H254" s="7">
        <f t="shared" si="0"/>
        <v>65975.5</v>
      </c>
      <c r="I254" s="21">
        <f t="shared" si="4"/>
        <v>20</v>
      </c>
    </row>
    <row r="255" spans="1:9" ht="14.25" customHeight="1" x14ac:dyDescent="0.25">
      <c r="A255" s="9">
        <v>43972</v>
      </c>
      <c r="B255" s="10" t="s">
        <v>19</v>
      </c>
      <c r="C255" s="10">
        <v>12135</v>
      </c>
      <c r="D255" s="10">
        <v>1103623.5</v>
      </c>
      <c r="E255" s="7">
        <f>SUMIFS(Лист2!C:C, Лист2!A:A, A255, Лист2!B:B, B255)</f>
        <v>15</v>
      </c>
      <c r="F255" s="7">
        <f>SUMIFS(Лист2!D:D, Лист2!A:A, A255, Лист2!B:B, B255)</f>
        <v>749</v>
      </c>
      <c r="G255" s="7">
        <f>SUMIFS(Лист2!E:E, Лист2!A:A, A255, Лист2!B:B, B255)</f>
        <v>652</v>
      </c>
      <c r="H255" s="7">
        <f t="shared" si="0"/>
        <v>73574.899999999994</v>
      </c>
      <c r="I255" s="21">
        <f t="shared" si="4"/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SUMIFS(Лист2!C:C, Лист2!A:A, A256, Лист2!B:B, B256)</f>
        <v>15</v>
      </c>
      <c r="F256" s="7">
        <f>SUMIFS(Лист2!D:D, Лист2!A:A, A256, Лист2!B:B, B256)</f>
        <v>760</v>
      </c>
      <c r="G256" s="7">
        <f>SUMIFS(Лист2!E:E, Лист2!A:A, A256, Лист2!B:B, B256)</f>
        <v>664</v>
      </c>
      <c r="H256" s="7">
        <f t="shared" si="0"/>
        <v>73657.2</v>
      </c>
      <c r="I256" s="21">
        <f t="shared" si="4"/>
        <v>21</v>
      </c>
    </row>
    <row r="257" spans="1:9" ht="14.25" customHeight="1" x14ac:dyDescent="0.25">
      <c r="A257" s="9">
        <v>43956</v>
      </c>
      <c r="B257" s="10" t="s">
        <v>19</v>
      </c>
      <c r="C257" s="10">
        <v>8223</v>
      </c>
      <c r="D257" s="10">
        <v>694593</v>
      </c>
      <c r="E257" s="7">
        <f>SUMIFS(Лист2!C:C, Лист2!A:A, A257, Лист2!B:B, B257)</f>
        <v>15</v>
      </c>
      <c r="F257" s="7">
        <f>SUMIFS(Лист2!D:D, Лист2!A:A, A257, Лист2!B:B, B257)</f>
        <v>455</v>
      </c>
      <c r="G257" s="7">
        <f>SUMIFS(Лист2!E:E, Лист2!A:A, A257, Лист2!B:B, B257)</f>
        <v>381</v>
      </c>
      <c r="H257" s="7">
        <f t="shared" si="0"/>
        <v>46306.2</v>
      </c>
      <c r="I257" s="21">
        <f t="shared" si="4"/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SUMIFS(Лист2!C:C, Лист2!A:A, A258, Лист2!B:B, B258)</f>
        <v>18</v>
      </c>
      <c r="F258" s="7">
        <f>SUMIFS(Лист2!D:D, Лист2!A:A, A258, Лист2!B:B, B258)</f>
        <v>1505</v>
      </c>
      <c r="G258" s="7">
        <f>SUMIFS(Лист2!E:E, Лист2!A:A, A258, Лист2!B:B, B258)</f>
        <v>1368</v>
      </c>
      <c r="H258" s="7">
        <f t="shared" si="0"/>
        <v>126504</v>
      </c>
      <c r="I258" s="21">
        <f t="shared" si="4"/>
        <v>18</v>
      </c>
    </row>
    <row r="259" spans="1:9" ht="14.25" customHeight="1" x14ac:dyDescent="0.25">
      <c r="A259" s="9">
        <v>43964</v>
      </c>
      <c r="B259" s="10" t="s">
        <v>19</v>
      </c>
      <c r="C259" s="10">
        <v>10401</v>
      </c>
      <c r="D259" s="10">
        <v>949912.5</v>
      </c>
      <c r="E259" s="7">
        <f>SUMIFS(Лист2!C:C, Лист2!A:A, A259, Лист2!B:B, B259)</f>
        <v>15</v>
      </c>
      <c r="F259" s="7">
        <f>SUMIFS(Лист2!D:D, Лист2!A:A, A259, Лист2!B:B, B259)</f>
        <v>599</v>
      </c>
      <c r="G259" s="7">
        <f>SUMIFS(Лист2!E:E, Лист2!A:A, A259, Лист2!B:B, B259)</f>
        <v>515</v>
      </c>
      <c r="H259" s="7">
        <f t="shared" si="0"/>
        <v>63327.5</v>
      </c>
      <c r="I259" s="21">
        <f t="shared" ref="I259:I322" si="5">_xlfn.ISOWEEKNUM(A259)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SUMIFS(Лист2!C:C, Лист2!A:A, A260, Лист2!B:B, B260)</f>
        <v>17</v>
      </c>
      <c r="F260" s="7">
        <f>SUMIFS(Лист2!D:D, Лист2!A:A, A260, Лист2!B:B, B260)</f>
        <v>1186</v>
      </c>
      <c r="G260" s="7">
        <f>SUMIFS(Лист2!E:E, Лист2!A:A, A260, Лист2!B:B, B260)</f>
        <v>1054</v>
      </c>
      <c r="H260" s="7">
        <f t="shared" si="0"/>
        <v>93654.088235294112</v>
      </c>
      <c r="I260" s="21">
        <f t="shared" si="5"/>
        <v>22</v>
      </c>
    </row>
    <row r="261" spans="1:9" ht="14.25" customHeight="1" x14ac:dyDescent="0.25">
      <c r="A261" s="9">
        <v>43954</v>
      </c>
      <c r="B261" s="10" t="s">
        <v>19</v>
      </c>
      <c r="C261" s="10">
        <v>8127</v>
      </c>
      <c r="D261" s="10">
        <v>665302.5</v>
      </c>
      <c r="E261" s="7">
        <f>SUMIFS(Лист2!C:C, Лист2!A:A, A261, Лист2!B:B, B261)</f>
        <v>15</v>
      </c>
      <c r="F261" s="7">
        <f>SUMIFS(Лист2!D:D, Лист2!A:A, A261, Лист2!B:B, B261)</f>
        <v>455</v>
      </c>
      <c r="G261" s="7">
        <f>SUMIFS(Лист2!E:E, Лист2!A:A, A261, Лист2!B:B, B261)</f>
        <v>384</v>
      </c>
      <c r="H261" s="7">
        <f t="shared" si="0"/>
        <v>44353.5</v>
      </c>
      <c r="I261" s="21">
        <f t="shared" si="5"/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SUMIFS(Лист2!C:C, Лист2!A:A, A262, Лист2!B:B, B262)</f>
        <v>17</v>
      </c>
      <c r="F262" s="7">
        <f>SUMIFS(Лист2!D:D, Лист2!A:A, A262, Лист2!B:B, B262)</f>
        <v>1697</v>
      </c>
      <c r="G262" s="7">
        <f>SUMIFS(Лист2!E:E, Лист2!A:A, A262, Лист2!B:B, B262)</f>
        <v>1499</v>
      </c>
      <c r="H262" s="7">
        <f t="shared" si="0"/>
        <v>144544.23529411765</v>
      </c>
      <c r="I262" s="21">
        <f t="shared" si="5"/>
        <v>22</v>
      </c>
    </row>
    <row r="263" spans="1:9" ht="14.25" customHeight="1" x14ac:dyDescent="0.25">
      <c r="A263" s="9">
        <v>43957</v>
      </c>
      <c r="B263" s="10" t="s">
        <v>19</v>
      </c>
      <c r="C263" s="10">
        <v>8464.5</v>
      </c>
      <c r="D263" s="10">
        <v>739291.5</v>
      </c>
      <c r="E263" s="7">
        <f>SUMIFS(Лист2!C:C, Лист2!A:A, A263, Лист2!B:B, B263)</f>
        <v>15</v>
      </c>
      <c r="F263" s="7">
        <f>SUMIFS(Лист2!D:D, Лист2!A:A, A263, Лист2!B:B, B263)</f>
        <v>467</v>
      </c>
      <c r="G263" s="7">
        <f>SUMIFS(Лист2!E:E, Лист2!A:A, A263, Лист2!B:B, B263)</f>
        <v>389</v>
      </c>
      <c r="H263" s="7">
        <f t="shared" si="0"/>
        <v>49286.1</v>
      </c>
      <c r="I263" s="21">
        <f t="shared" si="5"/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SUMIFS(Лист2!C:C, Лист2!A:A, A264, Лист2!B:B, B264)</f>
        <v>15</v>
      </c>
      <c r="F264" s="7">
        <f>SUMIFS(Лист2!D:D, Лист2!A:A, A264, Лист2!B:B, B264)</f>
        <v>840</v>
      </c>
      <c r="G264" s="7">
        <f>SUMIFS(Лист2!E:E, Лист2!A:A, A264, Лист2!B:B, B264)</f>
        <v>725</v>
      </c>
      <c r="H264" s="7">
        <f t="shared" si="0"/>
        <v>87671.7</v>
      </c>
      <c r="I264" s="21">
        <f t="shared" si="5"/>
        <v>21</v>
      </c>
    </row>
    <row r="265" spans="1:9" ht="14.25" customHeight="1" x14ac:dyDescent="0.25">
      <c r="A265" s="9">
        <v>43979</v>
      </c>
      <c r="B265" s="10" t="s">
        <v>18</v>
      </c>
      <c r="C265" s="10">
        <v>16500</v>
      </c>
      <c r="D265" s="10">
        <v>1487928</v>
      </c>
      <c r="E265" s="7">
        <f>SUMIFS(Лист2!C:C, Лист2!A:A, A265, Лист2!B:B, B265)</f>
        <v>17</v>
      </c>
      <c r="F265" s="7">
        <f>SUMIFS(Лист2!D:D, Лист2!A:A, A265, Лист2!B:B, B265)</f>
        <v>1097</v>
      </c>
      <c r="G265" s="7">
        <f>SUMIFS(Лист2!E:E, Лист2!A:A, A265, Лист2!B:B, B265)</f>
        <v>968</v>
      </c>
      <c r="H265" s="7">
        <f t="shared" si="0"/>
        <v>87525.176470588238</v>
      </c>
      <c r="I265" s="21">
        <f t="shared" si="5"/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SUMIFS(Лист2!C:C, Лист2!A:A, A266, Лист2!B:B, B266)</f>
        <v>15</v>
      </c>
      <c r="F266" s="7">
        <f>SUMIFS(Лист2!D:D, Лист2!A:A, A266, Лист2!B:B, B266)</f>
        <v>835</v>
      </c>
      <c r="G266" s="7">
        <f>SUMIFS(Лист2!E:E, Лист2!A:A, A266, Лист2!B:B, B266)</f>
        <v>736</v>
      </c>
      <c r="H266" s="7">
        <f t="shared" si="0"/>
        <v>82045.8</v>
      </c>
      <c r="I266" s="21">
        <f t="shared" si="5"/>
        <v>22</v>
      </c>
    </row>
    <row r="267" spans="1:9" ht="14.25" customHeight="1" x14ac:dyDescent="0.25">
      <c r="A267" s="9">
        <v>43951</v>
      </c>
      <c r="B267" s="10" t="s">
        <v>19</v>
      </c>
      <c r="C267" s="10">
        <v>4285.5</v>
      </c>
      <c r="D267" s="10">
        <v>404691</v>
      </c>
      <c r="E267" s="7">
        <f>SUMIFS(Лист2!C:C, Лист2!A:A, A267, Лист2!B:B, B267)</f>
        <v>15</v>
      </c>
      <c r="F267" s="7">
        <f>SUMIFS(Лист2!D:D, Лист2!A:A, A267, Лист2!B:B, B267)</f>
        <v>262</v>
      </c>
      <c r="G267" s="7">
        <f>SUMIFS(Лист2!E:E, Лист2!A:A, A267, Лист2!B:B, B267)</f>
        <v>195</v>
      </c>
      <c r="H267" s="7">
        <f t="shared" si="0"/>
        <v>26979.4</v>
      </c>
      <c r="I267" s="21">
        <f t="shared" si="5"/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SUMIFS(Лист2!C:C, Лист2!A:A, A268, Лист2!B:B, B268)</f>
        <v>15</v>
      </c>
      <c r="F268" s="7">
        <f>SUMIFS(Лист2!D:D, Лист2!A:A, A268, Лист2!B:B, B268)</f>
        <v>706</v>
      </c>
      <c r="G268" s="7">
        <f>SUMIFS(Лист2!E:E, Лист2!A:A, A268, Лист2!B:B, B268)</f>
        <v>608</v>
      </c>
      <c r="H268" s="7">
        <f t="shared" si="0"/>
        <v>79885.7</v>
      </c>
      <c r="I268" s="21">
        <f t="shared" si="5"/>
        <v>19</v>
      </c>
    </row>
    <row r="269" spans="1:9" ht="14.25" customHeight="1" x14ac:dyDescent="0.25">
      <c r="A269" s="9">
        <v>43959</v>
      </c>
      <c r="B269" s="10" t="s">
        <v>19</v>
      </c>
      <c r="C269" s="10">
        <v>9058.5</v>
      </c>
      <c r="D269" s="10">
        <v>798759</v>
      </c>
      <c r="E269" s="7">
        <f>SUMIFS(Лист2!C:C, Лист2!A:A, A269, Лист2!B:B, B269)</f>
        <v>15</v>
      </c>
      <c r="F269" s="7">
        <f>SUMIFS(Лист2!D:D, Лист2!A:A, A269, Лист2!B:B, B269)</f>
        <v>492</v>
      </c>
      <c r="G269" s="7">
        <f>SUMIFS(Лист2!E:E, Лист2!A:A, A269, Лист2!B:B, B269)</f>
        <v>412</v>
      </c>
      <c r="H269" s="7">
        <f t="shared" si="0"/>
        <v>53250.6</v>
      </c>
      <c r="I269" s="21">
        <f t="shared" si="5"/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SUMIFS(Лист2!C:C, Лист2!A:A, A270, Лист2!B:B, B270)</f>
        <v>15</v>
      </c>
      <c r="F270" s="7">
        <f>SUMIFS(Лист2!D:D, Лист2!A:A, A270, Лист2!B:B, B270)</f>
        <v>480</v>
      </c>
      <c r="G270" s="7">
        <f>SUMIFS(Лист2!E:E, Лист2!A:A, A270, Лист2!B:B, B270)</f>
        <v>398</v>
      </c>
      <c r="H270" s="7">
        <f t="shared" si="0"/>
        <v>51285.1</v>
      </c>
      <c r="I270" s="21">
        <f t="shared" si="5"/>
        <v>19</v>
      </c>
    </row>
    <row r="271" spans="1:9" ht="14.25" customHeight="1" x14ac:dyDescent="0.25">
      <c r="A271" s="9">
        <v>43975</v>
      </c>
      <c r="B271" s="10" t="s">
        <v>19</v>
      </c>
      <c r="C271" s="10">
        <v>12666</v>
      </c>
      <c r="D271" s="10">
        <v>1184865</v>
      </c>
      <c r="E271" s="7">
        <f>SUMIFS(Лист2!C:C, Лист2!A:A, A271, Лист2!B:B, B271)</f>
        <v>15</v>
      </c>
      <c r="F271" s="7">
        <f>SUMIFS(Лист2!D:D, Лист2!A:A, A271, Лист2!B:B, B271)</f>
        <v>779</v>
      </c>
      <c r="G271" s="7">
        <f>SUMIFS(Лист2!E:E, Лист2!A:A, A271, Лист2!B:B, B271)</f>
        <v>673</v>
      </c>
      <c r="H271" s="7">
        <f t="shared" si="0"/>
        <v>78991</v>
      </c>
      <c r="I271" s="21">
        <f t="shared" si="5"/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SUMIFS(Лист2!C:C, Лист2!A:A, A272, Лист2!B:B, B272)</f>
        <v>19</v>
      </c>
      <c r="F272" s="7">
        <f>SUMIFS(Лист2!D:D, Лист2!A:A, A272, Лист2!B:B, B272)</f>
        <v>2039</v>
      </c>
      <c r="G272" s="7">
        <f>SUMIFS(Лист2!E:E, Лист2!A:A, A272, Лист2!B:B, B272)</f>
        <v>1868</v>
      </c>
      <c r="H272" s="7">
        <f t="shared" si="0"/>
        <v>153835.97368421053</v>
      </c>
      <c r="I272" s="21">
        <f t="shared" si="5"/>
        <v>20</v>
      </c>
    </row>
    <row r="273" spans="1:9" ht="14.25" customHeight="1" x14ac:dyDescent="0.25">
      <c r="A273" s="9">
        <v>43970</v>
      </c>
      <c r="B273" s="10" t="s">
        <v>20</v>
      </c>
      <c r="C273" s="10">
        <v>28882.5</v>
      </c>
      <c r="D273" s="10">
        <v>2446530</v>
      </c>
      <c r="E273" s="7">
        <f>SUMIFS(Лист2!C:C, Лист2!A:A, A273, Лист2!B:B, B273)</f>
        <v>19</v>
      </c>
      <c r="F273" s="7">
        <f>SUMIFS(Лист2!D:D, Лист2!A:A, A273, Лист2!B:B, B273)</f>
        <v>1831</v>
      </c>
      <c r="G273" s="7">
        <f>SUMIFS(Лист2!E:E, Лист2!A:A, A273, Лист2!B:B, B273)</f>
        <v>1667</v>
      </c>
      <c r="H273" s="7">
        <f t="shared" si="0"/>
        <v>128764.73684210527</v>
      </c>
      <c r="I273" s="21">
        <f t="shared" si="5"/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SUMIFS(Лист2!C:C, Лист2!A:A, A274, Лист2!B:B, B274)</f>
        <v>19</v>
      </c>
      <c r="F274" s="7">
        <f>SUMIFS(Лист2!D:D, Лист2!A:A, A274, Лист2!B:B, B274)</f>
        <v>1790</v>
      </c>
      <c r="G274" s="7">
        <f>SUMIFS(Лист2!E:E, Лист2!A:A, A274, Лист2!B:B, B274)</f>
        <v>1633</v>
      </c>
      <c r="H274" s="7">
        <f t="shared" si="0"/>
        <v>128191.18421052632</v>
      </c>
      <c r="I274" s="21">
        <f t="shared" si="5"/>
        <v>20</v>
      </c>
    </row>
    <row r="275" spans="1:9" ht="14.25" customHeight="1" x14ac:dyDescent="0.25">
      <c r="A275" s="9">
        <v>43960</v>
      </c>
      <c r="B275" s="10" t="s">
        <v>20</v>
      </c>
      <c r="C275" s="10">
        <v>26271</v>
      </c>
      <c r="D275" s="10">
        <v>2384937</v>
      </c>
      <c r="E275" s="7">
        <f>SUMIFS(Лист2!C:C, Лист2!A:A, A275, Лист2!B:B, B275)</f>
        <v>19</v>
      </c>
      <c r="F275" s="7">
        <f>SUMIFS(Лист2!D:D, Лист2!A:A, A275, Лист2!B:B, B275)</f>
        <v>1542</v>
      </c>
      <c r="G275" s="7">
        <f>SUMIFS(Лист2!E:E, Лист2!A:A, A275, Лист2!B:B, B275)</f>
        <v>1412</v>
      </c>
      <c r="H275" s="7">
        <f t="shared" si="0"/>
        <v>125523</v>
      </c>
      <c r="I275" s="21">
        <f t="shared" si="5"/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SUMIFS(Лист2!C:C, Лист2!A:A, A276, Лист2!B:B, B276)</f>
        <v>19</v>
      </c>
      <c r="F276" s="7">
        <f>SUMIFS(Лист2!D:D, Лист2!A:A, A276, Лист2!B:B, B276)</f>
        <v>1479</v>
      </c>
      <c r="G276" s="7">
        <f>SUMIFS(Лист2!E:E, Лист2!A:A, A276, Лист2!B:B, B276)</f>
        <v>1346</v>
      </c>
      <c r="H276" s="7">
        <f t="shared" si="0"/>
        <v>113456.21052631579</v>
      </c>
      <c r="I276" s="21">
        <f t="shared" si="5"/>
        <v>19</v>
      </c>
    </row>
    <row r="277" spans="1:9" ht="14.25" customHeight="1" x14ac:dyDescent="0.25">
      <c r="A277" s="9">
        <v>43953</v>
      </c>
      <c r="B277" s="10" t="s">
        <v>20</v>
      </c>
      <c r="C277" s="10">
        <v>18427.5</v>
      </c>
      <c r="D277" s="10">
        <v>1682851.5</v>
      </c>
      <c r="E277" s="7">
        <f>SUMIFS(Лист2!C:C, Лист2!A:A, A277, Лист2!B:B, B277)</f>
        <v>19</v>
      </c>
      <c r="F277" s="7">
        <f>SUMIFS(Лист2!D:D, Лист2!A:A, A277, Лист2!B:B, B277)</f>
        <v>1206</v>
      </c>
      <c r="G277" s="7">
        <f>SUMIFS(Лист2!E:E, Лист2!A:A, A277, Лист2!B:B, B277)</f>
        <v>1080</v>
      </c>
      <c r="H277" s="7">
        <f t="shared" si="0"/>
        <v>88571.131578947374</v>
      </c>
      <c r="I277" s="21">
        <f t="shared" si="5"/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SUMIFS(Лист2!C:C, Лист2!A:A, A278, Лист2!B:B, B278)</f>
        <v>20</v>
      </c>
      <c r="F278" s="7">
        <f>SUMIFS(Лист2!D:D, Лист2!A:A, A278, Лист2!B:B, B278)</f>
        <v>1814</v>
      </c>
      <c r="G278" s="7">
        <f>SUMIFS(Лист2!E:E, Лист2!A:A, A278, Лист2!B:B, B278)</f>
        <v>1655</v>
      </c>
      <c r="H278" s="7">
        <f t="shared" si="0"/>
        <v>120540.15</v>
      </c>
      <c r="I278" s="21">
        <f t="shared" si="5"/>
        <v>22</v>
      </c>
    </row>
    <row r="279" spans="1:9" ht="14.25" customHeight="1" x14ac:dyDescent="0.25">
      <c r="A279" s="9">
        <v>43952</v>
      </c>
      <c r="B279" s="10" t="s">
        <v>20</v>
      </c>
      <c r="C279" s="10">
        <v>35190</v>
      </c>
      <c r="D279" s="10">
        <v>3168510</v>
      </c>
      <c r="E279" s="7">
        <f>SUMIFS(Лист2!C:C, Лист2!A:A, A279, Лист2!B:B, B279)</f>
        <v>19</v>
      </c>
      <c r="F279" s="7">
        <f>SUMIFS(Лист2!D:D, Лист2!A:A, A279, Лист2!B:B, B279)</f>
        <v>1987</v>
      </c>
      <c r="G279" s="7">
        <f>SUMIFS(Лист2!E:E, Лист2!A:A, A279, Лист2!B:B, B279)</f>
        <v>1791</v>
      </c>
      <c r="H279" s="7">
        <f t="shared" si="0"/>
        <v>166763.68421052632</v>
      </c>
      <c r="I279" s="21">
        <f t="shared" si="5"/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SUMIFS(Лист2!C:C, Лист2!A:A, A280, Лист2!B:B, B280)</f>
        <v>19</v>
      </c>
      <c r="F280" s="7">
        <f>SUMIFS(Лист2!D:D, Лист2!A:A, A280, Лист2!B:B, B280)</f>
        <v>1598</v>
      </c>
      <c r="G280" s="7">
        <f>SUMIFS(Лист2!E:E, Лист2!A:A, A280, Лист2!B:B, B280)</f>
        <v>1454</v>
      </c>
      <c r="H280" s="7">
        <f t="shared" si="0"/>
        <v>118061.05263157895</v>
      </c>
      <c r="I280" s="21">
        <f t="shared" si="5"/>
        <v>20</v>
      </c>
    </row>
    <row r="281" spans="1:9" ht="14.25" customHeight="1" x14ac:dyDescent="0.25">
      <c r="A281" s="9">
        <v>43972</v>
      </c>
      <c r="B281" s="10" t="s">
        <v>20</v>
      </c>
      <c r="C281" s="10">
        <v>25362</v>
      </c>
      <c r="D281" s="10">
        <v>2198935.5</v>
      </c>
      <c r="E281" s="7">
        <f>SUMIFS(Лист2!C:C, Лист2!A:A, A281, Лист2!B:B, B281)</f>
        <v>19</v>
      </c>
      <c r="F281" s="7">
        <f>SUMIFS(Лист2!D:D, Лист2!A:A, A281, Лист2!B:B, B281)</f>
        <v>1650</v>
      </c>
      <c r="G281" s="7">
        <f>SUMIFS(Лист2!E:E, Лист2!A:A, A281, Лист2!B:B, B281)</f>
        <v>1505</v>
      </c>
      <c r="H281" s="7">
        <f t="shared" si="0"/>
        <v>115733.44736842105</v>
      </c>
      <c r="I281" s="21">
        <f t="shared" si="5"/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SUMIFS(Лист2!C:C, Лист2!A:A, A282, Лист2!B:B, B282)</f>
        <v>19</v>
      </c>
      <c r="F282" s="7">
        <f>SUMIFS(Лист2!D:D, Лист2!A:A, A282, Лист2!B:B, B282)</f>
        <v>1823</v>
      </c>
      <c r="G282" s="7">
        <f>SUMIFS(Лист2!E:E, Лист2!A:A, A282, Лист2!B:B, B282)</f>
        <v>1678</v>
      </c>
      <c r="H282" s="7">
        <f t="shared" si="0"/>
        <v>132671.52631578947</v>
      </c>
      <c r="I282" s="21">
        <f t="shared" si="5"/>
        <v>21</v>
      </c>
    </row>
    <row r="283" spans="1:9" ht="14.25" customHeight="1" x14ac:dyDescent="0.25">
      <c r="A283" s="9">
        <v>43956</v>
      </c>
      <c r="B283" s="10" t="s">
        <v>20</v>
      </c>
      <c r="C283" s="10">
        <v>26367</v>
      </c>
      <c r="D283" s="10">
        <v>2380333.5</v>
      </c>
      <c r="E283" s="7">
        <f>SUMIFS(Лист2!C:C, Лист2!A:A, A283, Лист2!B:B, B283)</f>
        <v>19</v>
      </c>
      <c r="F283" s="7">
        <f>SUMIFS(Лист2!D:D, Лист2!A:A, A283, Лист2!B:B, B283)</f>
        <v>1622</v>
      </c>
      <c r="G283" s="7">
        <f>SUMIFS(Лист2!E:E, Лист2!A:A, A283, Лист2!B:B, B283)</f>
        <v>1482</v>
      </c>
      <c r="H283" s="7">
        <f t="shared" si="0"/>
        <v>125280.71052631579</v>
      </c>
      <c r="I283" s="21">
        <f t="shared" si="5"/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SUMIFS(Лист2!C:C, Лист2!A:A, A284, Лист2!B:B, B284)</f>
        <v>19</v>
      </c>
      <c r="F284" s="7">
        <f>SUMIFS(Лист2!D:D, Лист2!A:A, A284, Лист2!B:B, B284)</f>
        <v>1605</v>
      </c>
      <c r="G284" s="7">
        <f>SUMIFS(Лист2!E:E, Лист2!A:A, A284, Лист2!B:B, B284)</f>
        <v>1447</v>
      </c>
      <c r="H284" s="7">
        <f t="shared" si="0"/>
        <v>119139.55263157895</v>
      </c>
      <c r="I284" s="21">
        <f t="shared" si="5"/>
        <v>20</v>
      </c>
    </row>
    <row r="285" spans="1:9" ht="14.25" customHeight="1" x14ac:dyDescent="0.25">
      <c r="A285" s="9">
        <v>43982</v>
      </c>
      <c r="B285" s="10" t="s">
        <v>19</v>
      </c>
      <c r="C285" s="10">
        <v>14808</v>
      </c>
      <c r="D285" s="10">
        <v>1336789.5</v>
      </c>
      <c r="E285" s="7">
        <f>SUMIFS(Лист2!C:C, Лист2!A:A, A285, Лист2!B:B, B285)</f>
        <v>16</v>
      </c>
      <c r="F285" s="7">
        <f>SUMIFS(Лист2!D:D, Лист2!A:A, A285, Лист2!B:B, B285)</f>
        <v>917</v>
      </c>
      <c r="G285" s="7">
        <f>SUMIFS(Лист2!E:E, Лист2!A:A, A285, Лист2!B:B, B285)</f>
        <v>802</v>
      </c>
      <c r="H285" s="7">
        <f t="shared" si="0"/>
        <v>83549.34375</v>
      </c>
      <c r="I285" s="21">
        <f t="shared" si="5"/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SUMIFS(Лист2!C:C, Лист2!A:A, A286, Лист2!B:B, B286)</f>
        <v>19</v>
      </c>
      <c r="F286" s="7">
        <f>SUMIFS(Лист2!D:D, Лист2!A:A, A286, Лист2!B:B, B286)</f>
        <v>1314</v>
      </c>
      <c r="G286" s="7">
        <f>SUMIFS(Лист2!E:E, Лист2!A:A, A286, Лист2!B:B, B286)</f>
        <v>1192</v>
      </c>
      <c r="H286" s="7">
        <f t="shared" si="0"/>
        <v>100345.10526315789</v>
      </c>
      <c r="I286" s="21">
        <f t="shared" si="5"/>
        <v>18</v>
      </c>
    </row>
    <row r="287" spans="1:9" ht="14.25" customHeight="1" x14ac:dyDescent="0.25">
      <c r="A287" s="9">
        <v>43981</v>
      </c>
      <c r="B287" s="10" t="s">
        <v>19</v>
      </c>
      <c r="C287" s="10">
        <v>17946</v>
      </c>
      <c r="D287" s="10">
        <v>1609090.5</v>
      </c>
      <c r="E287" s="7">
        <f>SUMIFS(Лист2!C:C, Лист2!A:A, A287, Лист2!B:B, B287)</f>
        <v>16</v>
      </c>
      <c r="F287" s="7">
        <f>SUMIFS(Лист2!D:D, Лист2!A:A, A287, Лист2!B:B, B287)</f>
        <v>1048</v>
      </c>
      <c r="G287" s="7">
        <f>SUMIFS(Лист2!E:E, Лист2!A:A, A287, Лист2!B:B, B287)</f>
        <v>918</v>
      </c>
      <c r="H287" s="7">
        <f t="shared" si="0"/>
        <v>100568.15625</v>
      </c>
      <c r="I287" s="21">
        <f t="shared" si="5"/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SUMIFS(Лист2!C:C, Лист2!A:A, A288, Лист2!B:B, B288)</f>
        <v>19</v>
      </c>
      <c r="F288" s="7">
        <f>SUMIFS(Лист2!D:D, Лист2!A:A, A288, Лист2!B:B, B288)</f>
        <v>1509</v>
      </c>
      <c r="G288" s="7">
        <f>SUMIFS(Лист2!E:E, Лист2!A:A, A288, Лист2!B:B, B288)</f>
        <v>1374</v>
      </c>
      <c r="H288" s="7">
        <f t="shared" si="0"/>
        <v>113650.02631578948</v>
      </c>
      <c r="I288" s="21">
        <f t="shared" si="5"/>
        <v>19</v>
      </c>
    </row>
    <row r="289" spans="1:9" ht="14.25" customHeight="1" x14ac:dyDescent="0.25">
      <c r="A289" s="9">
        <v>43974</v>
      </c>
      <c r="B289" s="10" t="s">
        <v>20</v>
      </c>
      <c r="C289" s="10">
        <v>36997.5</v>
      </c>
      <c r="D289" s="10">
        <v>3089140.5</v>
      </c>
      <c r="E289" s="7">
        <f>SUMIFS(Лист2!C:C, Лист2!A:A, A289, Лист2!B:B, B289)</f>
        <v>19</v>
      </c>
      <c r="F289" s="7">
        <f>SUMIFS(Лист2!D:D, Лист2!A:A, A289, Лист2!B:B, B289)</f>
        <v>2195</v>
      </c>
      <c r="G289" s="7">
        <f>SUMIFS(Лист2!E:E, Лист2!A:A, A289, Лист2!B:B, B289)</f>
        <v>1999</v>
      </c>
      <c r="H289" s="7">
        <f t="shared" si="0"/>
        <v>162586.34210526315</v>
      </c>
      <c r="I289" s="21">
        <f t="shared" si="5"/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SUMIFS(Лист2!C:C, Лист2!A:A, A290, Лист2!B:B, B290)</f>
        <v>16</v>
      </c>
      <c r="F290" s="7">
        <f>SUMIFS(Лист2!D:D, Лист2!A:A, A290, Лист2!B:B, B290)</f>
        <v>876</v>
      </c>
      <c r="G290" s="7">
        <f>SUMIFS(Лист2!E:E, Лист2!A:A, A290, Лист2!B:B, B290)</f>
        <v>762</v>
      </c>
      <c r="H290" s="7">
        <f t="shared" si="0"/>
        <v>77484.1875</v>
      </c>
      <c r="I290" s="21">
        <f t="shared" si="5"/>
        <v>22</v>
      </c>
    </row>
    <row r="291" spans="1:9" ht="14.25" customHeight="1" x14ac:dyDescent="0.25">
      <c r="A291" s="9">
        <v>43976</v>
      </c>
      <c r="B291" s="10" t="s">
        <v>20</v>
      </c>
      <c r="C291" s="10">
        <v>28494</v>
      </c>
      <c r="D291" s="10">
        <v>2512803</v>
      </c>
      <c r="E291" s="7">
        <f>SUMIFS(Лист2!C:C, Лист2!A:A, A291, Лист2!B:B, B291)</f>
        <v>20</v>
      </c>
      <c r="F291" s="7">
        <f>SUMIFS(Лист2!D:D, Лист2!A:A, A291, Лист2!B:B, B291)</f>
        <v>1899</v>
      </c>
      <c r="G291" s="7">
        <f>SUMIFS(Лист2!E:E, Лист2!A:A, A291, Лист2!B:B, B291)</f>
        <v>1738</v>
      </c>
      <c r="H291" s="7">
        <f t="shared" si="0"/>
        <v>125640.15</v>
      </c>
      <c r="I291" s="21">
        <f t="shared" si="5"/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SUMIFS(Лист2!C:C, Лист2!A:A, A292, Лист2!B:B, B292)</f>
        <v>19</v>
      </c>
      <c r="F292" s="7">
        <f>SUMIFS(Лист2!D:D, Лист2!A:A, A292, Лист2!B:B, B292)</f>
        <v>1662</v>
      </c>
      <c r="G292" s="7">
        <f>SUMIFS(Лист2!E:E, Лист2!A:A, A292, Лист2!B:B, B292)</f>
        <v>1506</v>
      </c>
      <c r="H292" s="7">
        <f t="shared" si="0"/>
        <v>134741.05263157896</v>
      </c>
      <c r="I292" s="21">
        <f t="shared" si="5"/>
        <v>18</v>
      </c>
    </row>
    <row r="293" spans="1:9" ht="14.25" customHeight="1" x14ac:dyDescent="0.25">
      <c r="A293" s="9">
        <v>43961</v>
      </c>
      <c r="B293" s="10" t="s">
        <v>20</v>
      </c>
      <c r="C293" s="10">
        <v>31224</v>
      </c>
      <c r="D293" s="10">
        <v>2767270.5</v>
      </c>
      <c r="E293" s="7">
        <f>SUMIFS(Лист2!C:C, Лист2!A:A, A293, Лист2!B:B, B293)</f>
        <v>19</v>
      </c>
      <c r="F293" s="7">
        <f>SUMIFS(Лист2!D:D, Лист2!A:A, A293, Лист2!B:B, B293)</f>
        <v>1836</v>
      </c>
      <c r="G293" s="7">
        <f>SUMIFS(Лист2!E:E, Лист2!A:A, A293, Лист2!B:B, B293)</f>
        <v>1680</v>
      </c>
      <c r="H293" s="7">
        <f t="shared" si="0"/>
        <v>145645.81578947368</v>
      </c>
      <c r="I293" s="21">
        <f t="shared" si="5"/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SUMIFS(Лист2!C:C, Лист2!A:A, A294, Лист2!B:B, B294)</f>
        <v>19</v>
      </c>
      <c r="F294" s="7">
        <f>SUMIFS(Лист2!D:D, Лист2!A:A, A294, Лист2!B:B, B294)</f>
        <v>1520</v>
      </c>
      <c r="G294" s="7">
        <f>SUMIFS(Лист2!E:E, Лист2!A:A, A294, Лист2!B:B, B294)</f>
        <v>1380</v>
      </c>
      <c r="H294" s="7">
        <f t="shared" si="0"/>
        <v>117682.10526315789</v>
      </c>
      <c r="I294" s="21">
        <f t="shared" si="5"/>
        <v>19</v>
      </c>
    </row>
    <row r="295" spans="1:9" ht="14.25" customHeight="1" x14ac:dyDescent="0.25">
      <c r="A295" s="9">
        <v>43958</v>
      </c>
      <c r="B295" s="10" t="s">
        <v>20</v>
      </c>
      <c r="C295" s="10">
        <v>26184</v>
      </c>
      <c r="D295" s="10">
        <v>2308336.5</v>
      </c>
      <c r="E295" s="7">
        <f>SUMIFS(Лист2!C:C, Лист2!A:A, A295, Лист2!B:B, B295)</f>
        <v>19</v>
      </c>
      <c r="F295" s="7">
        <f>SUMIFS(Лист2!D:D, Лист2!A:A, A295, Лист2!B:B, B295)</f>
        <v>1580</v>
      </c>
      <c r="G295" s="7">
        <f>SUMIFS(Лист2!E:E, Лист2!A:A, A295, Лист2!B:B, B295)</f>
        <v>1435</v>
      </c>
      <c r="H295" s="7">
        <f t="shared" si="0"/>
        <v>121491.39473684211</v>
      </c>
      <c r="I295" s="21">
        <f t="shared" si="5"/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SUMIFS(Лист2!C:C, Лист2!A:A, A296, Лист2!B:B, B296)</f>
        <v>19</v>
      </c>
      <c r="F296" s="7">
        <f>SUMIFS(Лист2!D:D, Лист2!A:A, A296, Лист2!B:B, B296)</f>
        <v>1868</v>
      </c>
      <c r="G296" s="7">
        <f>SUMIFS(Лист2!E:E, Лист2!A:A, A296, Лист2!B:B, B296)</f>
        <v>1706</v>
      </c>
      <c r="H296" s="7">
        <f t="shared" si="0"/>
        <v>132995.21052631579</v>
      </c>
      <c r="I296" s="21">
        <f t="shared" si="5"/>
        <v>21</v>
      </c>
    </row>
    <row r="297" spans="1:9" ht="14.25" customHeight="1" x14ac:dyDescent="0.25">
      <c r="A297" s="9">
        <v>43950</v>
      </c>
      <c r="B297" s="10" t="s">
        <v>21</v>
      </c>
      <c r="C297" s="10">
        <v>208351.5</v>
      </c>
      <c r="D297" s="10">
        <v>21615333</v>
      </c>
      <c r="E297" s="7">
        <f>SUMIFS(Лист2!C:C, Лист2!A:A, A297, Лист2!B:B, B297)</f>
        <v>59</v>
      </c>
      <c r="F297" s="7">
        <f>SUMIFS(Лист2!D:D, Лист2!A:A, A297, Лист2!B:B, B297)</f>
        <v>13186</v>
      </c>
      <c r="G297" s="7">
        <f>SUMIFS(Лист2!E:E, Лист2!A:A, A297, Лист2!B:B, B297)</f>
        <v>12251</v>
      </c>
      <c r="H297" s="7">
        <f t="shared" si="0"/>
        <v>366361.57627118647</v>
      </c>
      <c r="I297" s="21">
        <f t="shared" si="5"/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SUMIFS(Лист2!C:C, Лист2!A:A, A298, Лист2!B:B, B298)</f>
        <v>59</v>
      </c>
      <c r="F298" s="7">
        <f>SUMIFS(Лист2!D:D, Лист2!A:A, A298, Лист2!B:B, B298)</f>
        <v>12943</v>
      </c>
      <c r="G298" s="7">
        <f>SUMIFS(Лист2!E:E, Лист2!A:A, A298, Лист2!B:B, B298)</f>
        <v>12072</v>
      </c>
      <c r="H298" s="7">
        <f t="shared" si="0"/>
        <v>357879.63559322036</v>
      </c>
      <c r="I298" s="21">
        <f t="shared" si="5"/>
        <v>18</v>
      </c>
    </row>
    <row r="299" spans="1:9" ht="14.25" customHeight="1" x14ac:dyDescent="0.25">
      <c r="A299" s="9">
        <v>43982</v>
      </c>
      <c r="B299" s="10" t="s">
        <v>20</v>
      </c>
      <c r="C299" s="10">
        <v>31372.5</v>
      </c>
      <c r="D299" s="10">
        <v>2794324.5</v>
      </c>
      <c r="E299" s="7">
        <f>SUMIFS(Лист2!C:C, Лист2!A:A, A299, Лист2!B:B, B299)</f>
        <v>21</v>
      </c>
      <c r="F299" s="7">
        <f>SUMIFS(Лист2!D:D, Лист2!A:A, A299, Лист2!B:B, B299)</f>
        <v>2056</v>
      </c>
      <c r="G299" s="7">
        <f>SUMIFS(Лист2!E:E, Лист2!A:A, A299, Лист2!B:B, B299)</f>
        <v>1879</v>
      </c>
      <c r="H299" s="7">
        <f t="shared" si="0"/>
        <v>133063.07142857142</v>
      </c>
      <c r="I299" s="21">
        <f t="shared" si="5"/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SUMIFS(Лист2!C:C, Лист2!A:A, A300, Лист2!B:B, B300)</f>
        <v>20</v>
      </c>
      <c r="F300" s="7">
        <f>SUMIFS(Лист2!D:D, Лист2!A:A, A300, Лист2!B:B, B300)</f>
        <v>2174</v>
      </c>
      <c r="G300" s="7">
        <f>SUMIFS(Лист2!E:E, Лист2!A:A, A300, Лист2!B:B, B300)</f>
        <v>1957</v>
      </c>
      <c r="H300" s="7">
        <f t="shared" si="0"/>
        <v>150266.70000000001</v>
      </c>
      <c r="I300" s="21">
        <f t="shared" si="5"/>
        <v>22</v>
      </c>
    </row>
    <row r="301" spans="1:9" ht="14.25" customHeight="1" x14ac:dyDescent="0.25">
      <c r="A301" s="9">
        <v>43979</v>
      </c>
      <c r="B301" s="10" t="s">
        <v>20</v>
      </c>
      <c r="C301" s="10">
        <v>28197</v>
      </c>
      <c r="D301" s="10">
        <v>2559211.5</v>
      </c>
      <c r="E301" s="7">
        <f>SUMIFS(Лист2!C:C, Лист2!A:A, A301, Лист2!B:B, B301)</f>
        <v>20</v>
      </c>
      <c r="F301" s="7">
        <f>SUMIFS(Лист2!D:D, Лист2!A:A, A301, Лист2!B:B, B301)</f>
        <v>1875</v>
      </c>
      <c r="G301" s="7">
        <f>SUMIFS(Лист2!E:E, Лист2!A:A, A301, Лист2!B:B, B301)</f>
        <v>1701</v>
      </c>
      <c r="H301" s="7">
        <f t="shared" si="0"/>
        <v>127960.575</v>
      </c>
      <c r="I301" s="21">
        <f t="shared" si="5"/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SUMIFS(Лист2!C:C, Лист2!A:A, A302, Лист2!B:B, B302)</f>
        <v>60</v>
      </c>
      <c r="F302" s="7">
        <f>SUMIFS(Лист2!D:D, Лист2!A:A, A302, Лист2!B:B, B302)</f>
        <v>14049</v>
      </c>
      <c r="G302" s="7">
        <f>SUMIFS(Лист2!E:E, Лист2!A:A, A302, Лист2!B:B, B302)</f>
        <v>13118</v>
      </c>
      <c r="H302" s="7">
        <f t="shared" si="0"/>
        <v>394823.05</v>
      </c>
      <c r="I302" s="21">
        <f t="shared" si="5"/>
        <v>20</v>
      </c>
    </row>
    <row r="303" spans="1:9" ht="14.25" customHeight="1" x14ac:dyDescent="0.25">
      <c r="A303" s="9">
        <v>43970</v>
      </c>
      <c r="B303" s="10" t="s">
        <v>21</v>
      </c>
      <c r="C303" s="10">
        <v>223597.5</v>
      </c>
      <c r="D303" s="10">
        <v>21945858</v>
      </c>
      <c r="E303" s="7">
        <f>SUMIFS(Лист2!C:C, Лист2!A:A, A303, Лист2!B:B, B303)</f>
        <v>60</v>
      </c>
      <c r="F303" s="7">
        <f>SUMIFS(Лист2!D:D, Лист2!A:A, A303, Лист2!B:B, B303)</f>
        <v>13867</v>
      </c>
      <c r="G303" s="7">
        <f>SUMIFS(Лист2!E:E, Лист2!A:A, A303, Лист2!B:B, B303)</f>
        <v>12987</v>
      </c>
      <c r="H303" s="7">
        <f t="shared" si="0"/>
        <v>365764.3</v>
      </c>
      <c r="I303" s="21">
        <f t="shared" si="5"/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SUMIFS(Лист2!C:C, Лист2!A:A, A304, Лист2!B:B, B304)</f>
        <v>60</v>
      </c>
      <c r="F304" s="7">
        <f>SUMIFS(Лист2!D:D, Лист2!A:A, A304, Лист2!B:B, B304)</f>
        <v>11698</v>
      </c>
      <c r="G304" s="7">
        <f>SUMIFS(Лист2!E:E, Лист2!A:A, A304, Лист2!B:B, B304)</f>
        <v>10989</v>
      </c>
      <c r="H304" s="7">
        <f t="shared" si="0"/>
        <v>325773.09999999998</v>
      </c>
      <c r="I304" s="21">
        <f t="shared" si="5"/>
        <v>20</v>
      </c>
    </row>
    <row r="305" spans="1:9" ht="14.25" customHeight="1" x14ac:dyDescent="0.25">
      <c r="A305" s="9">
        <v>43960</v>
      </c>
      <c r="B305" s="10" t="s">
        <v>21</v>
      </c>
      <c r="C305" s="10">
        <v>188319</v>
      </c>
      <c r="D305" s="10">
        <v>19218631.5</v>
      </c>
      <c r="E305" s="7">
        <f>SUMIFS(Лист2!C:C, Лист2!A:A, A305, Лист2!B:B, B305)</f>
        <v>59</v>
      </c>
      <c r="F305" s="7">
        <f>SUMIFS(Лист2!D:D, Лист2!A:A, A305, Лист2!B:B, B305)</f>
        <v>12016</v>
      </c>
      <c r="G305" s="7">
        <f>SUMIFS(Лист2!E:E, Лист2!A:A, A305, Лист2!B:B, B305)</f>
        <v>11137</v>
      </c>
      <c r="H305" s="7">
        <f t="shared" si="0"/>
        <v>325739.51694915252</v>
      </c>
      <c r="I305" s="21">
        <f t="shared" si="5"/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SUMIFS(Лист2!C:C, Лист2!A:A, A306, Лист2!B:B, B306)</f>
        <v>59</v>
      </c>
      <c r="F306" s="7">
        <f>SUMIFS(Лист2!D:D, Лист2!A:A, A306, Лист2!B:B, B306)</f>
        <v>14423</v>
      </c>
      <c r="G306" s="7">
        <f>SUMIFS(Лист2!E:E, Лист2!A:A, A306, Лист2!B:B, B306)</f>
        <v>13432</v>
      </c>
      <c r="H306" s="7">
        <f t="shared" si="0"/>
        <v>411732.50847457629</v>
      </c>
      <c r="I306" s="21">
        <f t="shared" si="5"/>
        <v>19</v>
      </c>
    </row>
    <row r="307" spans="1:9" ht="14.25" customHeight="1" x14ac:dyDescent="0.25">
      <c r="A307" s="9">
        <v>43950</v>
      </c>
      <c r="B307" s="10" t="s">
        <v>22</v>
      </c>
      <c r="C307" s="10">
        <v>203209.5</v>
      </c>
      <c r="D307" s="10">
        <v>20871391.5</v>
      </c>
      <c r="E307" s="7">
        <f>SUMIFS(Лист2!C:C, Лист2!A:A, A307, Лист2!B:B, B307)</f>
        <v>54</v>
      </c>
      <c r="F307" s="7">
        <f>SUMIFS(Лист2!D:D, Лист2!A:A, A307, Лист2!B:B, B307)</f>
        <v>12747</v>
      </c>
      <c r="G307" s="7">
        <f>SUMIFS(Лист2!E:E, Лист2!A:A, A307, Лист2!B:B, B307)</f>
        <v>11884</v>
      </c>
      <c r="H307" s="7">
        <f t="shared" si="0"/>
        <v>386507.25</v>
      </c>
      <c r="I307" s="21">
        <f t="shared" si="5"/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SUMIFS(Лист2!C:C, Лист2!A:A, A308, Лист2!B:B, B308)</f>
        <v>59</v>
      </c>
      <c r="F308" s="7">
        <f>SUMIFS(Лист2!D:D, Лист2!A:A, A308, Лист2!B:B, B308)</f>
        <v>12429</v>
      </c>
      <c r="G308" s="7">
        <f>SUMIFS(Лист2!E:E, Лист2!A:A, A308, Лист2!B:B, B308)</f>
        <v>11477</v>
      </c>
      <c r="H308" s="7">
        <f t="shared" si="0"/>
        <v>332633.28813559323</v>
      </c>
      <c r="I308" s="21">
        <f t="shared" si="5"/>
        <v>18</v>
      </c>
    </row>
    <row r="309" spans="1:9" ht="14.25" customHeight="1" x14ac:dyDescent="0.25">
      <c r="A309" s="9">
        <v>43977</v>
      </c>
      <c r="B309" s="10" t="s">
        <v>21</v>
      </c>
      <c r="C309" s="10">
        <v>244905</v>
      </c>
      <c r="D309" s="10">
        <v>25163431.5</v>
      </c>
      <c r="E309" s="7">
        <f>SUMIFS(Лист2!C:C, Лист2!A:A, A309, Лист2!B:B, B309)</f>
        <v>59</v>
      </c>
      <c r="F309" s="7">
        <f>SUMIFS(Лист2!D:D, Лист2!A:A, A309, Лист2!B:B, B309)</f>
        <v>15369</v>
      </c>
      <c r="G309" s="7">
        <f>SUMIFS(Лист2!E:E, Лист2!A:A, A309, Лист2!B:B, B309)</f>
        <v>14299</v>
      </c>
      <c r="H309" s="7">
        <f t="shared" si="0"/>
        <v>426498.83898305084</v>
      </c>
      <c r="I309" s="21">
        <f t="shared" si="5"/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SUMIFS(Лист2!C:C, Лист2!A:A, A310, Лист2!B:B, B310)</f>
        <v>59</v>
      </c>
      <c r="F310" s="7">
        <f>SUMIFS(Лист2!D:D, Лист2!A:A, A310, Лист2!B:B, B310)</f>
        <v>15222</v>
      </c>
      <c r="G310" s="7">
        <f>SUMIFS(Лист2!E:E, Лист2!A:A, A310, Лист2!B:B, B310)</f>
        <v>13873</v>
      </c>
      <c r="H310" s="7">
        <f t="shared" si="0"/>
        <v>430734.76271186443</v>
      </c>
      <c r="I310" s="21">
        <f t="shared" si="5"/>
        <v>18</v>
      </c>
    </row>
    <row r="311" spans="1:9" ht="14.25" customHeight="1" x14ac:dyDescent="0.25">
      <c r="A311" s="9">
        <v>43963</v>
      </c>
      <c r="B311" s="10" t="s">
        <v>21</v>
      </c>
      <c r="C311" s="10">
        <v>192886.5</v>
      </c>
      <c r="D311" s="10">
        <v>19205179.5</v>
      </c>
      <c r="E311" s="7">
        <f>SUMIFS(Лист2!C:C, Лист2!A:A, A311, Лист2!B:B, B311)</f>
        <v>60</v>
      </c>
      <c r="F311" s="7">
        <f>SUMIFS(Лист2!D:D, Лист2!A:A, A311, Лист2!B:B, B311)</f>
        <v>12000</v>
      </c>
      <c r="G311" s="7">
        <f>SUMIFS(Лист2!E:E, Лист2!A:A, A311, Лист2!B:B, B311)</f>
        <v>11194</v>
      </c>
      <c r="H311" s="7">
        <f t="shared" si="0"/>
        <v>320086.32500000001</v>
      </c>
      <c r="I311" s="21">
        <f t="shared" si="5"/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SUMIFS(Лист2!C:C, Лист2!A:A, A312, Лист2!B:B, B312)</f>
        <v>60</v>
      </c>
      <c r="F312" s="7">
        <f>SUMIFS(Лист2!D:D, Лист2!A:A, A312, Лист2!B:B, B312)</f>
        <v>14005</v>
      </c>
      <c r="G312" s="7">
        <f>SUMIFS(Лист2!E:E, Лист2!A:A, A312, Лист2!B:B, B312)</f>
        <v>13002</v>
      </c>
      <c r="H312" s="7">
        <f t="shared" si="0"/>
        <v>370888.25</v>
      </c>
      <c r="I312" s="21">
        <f t="shared" si="5"/>
        <v>21</v>
      </c>
    </row>
    <row r="313" spans="1:9" ht="14.25" customHeight="1" x14ac:dyDescent="0.25">
      <c r="A313" s="9">
        <v>43971</v>
      </c>
      <c r="B313" s="10" t="s">
        <v>21</v>
      </c>
      <c r="C313" s="10">
        <v>219622.5</v>
      </c>
      <c r="D313" s="10">
        <v>21959286</v>
      </c>
      <c r="E313" s="7">
        <f>SUMIFS(Лист2!C:C, Лист2!A:A, A313, Лист2!B:B, B313)</f>
        <v>60</v>
      </c>
      <c r="F313" s="7">
        <f>SUMIFS(Лист2!D:D, Лист2!A:A, A313, Лист2!B:B, B313)</f>
        <v>13792</v>
      </c>
      <c r="G313" s="7">
        <f>SUMIFS(Лист2!E:E, Лист2!A:A, A313, Лист2!B:B, B313)</f>
        <v>12834</v>
      </c>
      <c r="H313" s="7">
        <f t="shared" si="0"/>
        <v>365988.1</v>
      </c>
      <c r="I313" s="21">
        <f t="shared" si="5"/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SUMIFS(Лист2!C:C, Лист2!A:A, A314, Лист2!B:B, B314)</f>
        <v>59</v>
      </c>
      <c r="F314" s="7">
        <f>SUMIFS(Лист2!D:D, Лист2!A:A, A314, Лист2!B:B, B314)</f>
        <v>13469</v>
      </c>
      <c r="G314" s="7">
        <f>SUMIFS(Лист2!E:E, Лист2!A:A, A314, Лист2!B:B, B314)</f>
        <v>12486</v>
      </c>
      <c r="H314" s="7">
        <f t="shared" si="0"/>
        <v>371515.85593220341</v>
      </c>
      <c r="I314" s="21">
        <f t="shared" si="5"/>
        <v>19</v>
      </c>
    </row>
    <row r="315" spans="1:9" ht="14.25" customHeight="1" x14ac:dyDescent="0.25">
      <c r="A315" s="9">
        <v>43949</v>
      </c>
      <c r="B315" s="10" t="s">
        <v>22</v>
      </c>
      <c r="C315" s="10">
        <v>195705</v>
      </c>
      <c r="D315" s="10">
        <v>20003263.5</v>
      </c>
      <c r="E315" s="7">
        <f>SUMIFS(Лист2!C:C, Лист2!A:A, A315, Лист2!B:B, B315)</f>
        <v>54</v>
      </c>
      <c r="F315" s="7">
        <f>SUMIFS(Лист2!D:D, Лист2!A:A, A315, Лист2!B:B, B315)</f>
        <v>12306</v>
      </c>
      <c r="G315" s="7">
        <f>SUMIFS(Лист2!E:E, Лист2!A:A, A315, Лист2!B:B, B315)</f>
        <v>11532</v>
      </c>
      <c r="H315" s="7">
        <f t="shared" si="0"/>
        <v>370430.80555555556</v>
      </c>
      <c r="I315" s="21">
        <f t="shared" si="5"/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SUMIFS(Лист2!C:C, Лист2!A:A, A316, Лист2!B:B, B316)</f>
        <v>60</v>
      </c>
      <c r="F316" s="7">
        <f>SUMIFS(Лист2!D:D, Лист2!A:A, A316, Лист2!B:B, B316)</f>
        <v>12007</v>
      </c>
      <c r="G316" s="7">
        <f>SUMIFS(Лист2!E:E, Лист2!A:A, A316, Лист2!B:B, B316)</f>
        <v>11245</v>
      </c>
      <c r="H316" s="7">
        <f t="shared" si="0"/>
        <v>323954.55</v>
      </c>
      <c r="I316" s="21">
        <f t="shared" si="5"/>
        <v>20</v>
      </c>
    </row>
    <row r="317" spans="1:9" ht="14.25" customHeight="1" x14ac:dyDescent="0.25">
      <c r="A317" s="9">
        <v>43954</v>
      </c>
      <c r="B317" s="10" t="s">
        <v>21</v>
      </c>
      <c r="C317" s="10">
        <v>257215.5</v>
      </c>
      <c r="D317" s="10">
        <v>26492278.5</v>
      </c>
      <c r="E317" s="7">
        <f>SUMIFS(Лист2!C:C, Лист2!A:A, A317, Лист2!B:B, B317)</f>
        <v>59</v>
      </c>
      <c r="F317" s="7">
        <f>SUMIFS(Лист2!D:D, Лист2!A:A, A317, Лист2!B:B, B317)</f>
        <v>15277</v>
      </c>
      <c r="G317" s="7">
        <f>SUMIFS(Лист2!E:E, Лист2!A:A, A317, Лист2!B:B, B317)</f>
        <v>14163</v>
      </c>
      <c r="H317" s="7">
        <f t="shared" si="0"/>
        <v>449021.66949152545</v>
      </c>
      <c r="I317" s="21">
        <f t="shared" si="5"/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SUMIFS(Лист2!C:C, Лист2!A:A, A318, Лист2!B:B, B318)</f>
        <v>59</v>
      </c>
      <c r="F318" s="7">
        <f>SUMIFS(Лист2!D:D, Лист2!A:A, A318, Лист2!B:B, B318)</f>
        <v>14103</v>
      </c>
      <c r="G318" s="7">
        <f>SUMIFS(Лист2!E:E, Лист2!A:A, A318, Лист2!B:B, B318)</f>
        <v>13118</v>
      </c>
      <c r="H318" s="7">
        <f t="shared" si="0"/>
        <v>390389.69491525425</v>
      </c>
      <c r="I318" s="21">
        <f t="shared" si="5"/>
        <v>19</v>
      </c>
    </row>
    <row r="319" spans="1:9" ht="14.25" customHeight="1" x14ac:dyDescent="0.25">
      <c r="A319" s="9">
        <v>43974</v>
      </c>
      <c r="B319" s="10" t="s">
        <v>21</v>
      </c>
      <c r="C319" s="10">
        <v>292018.5</v>
      </c>
      <c r="D319" s="10">
        <v>28590910.5</v>
      </c>
      <c r="E319" s="7">
        <f>SUMIFS(Лист2!C:C, Лист2!A:A, A319, Лист2!B:B, B319)</f>
        <v>60</v>
      </c>
      <c r="F319" s="7">
        <f>SUMIFS(Лист2!D:D, Лист2!A:A, A319, Лист2!B:B, B319)</f>
        <v>17295</v>
      </c>
      <c r="G319" s="7">
        <f>SUMIFS(Лист2!E:E, Лист2!A:A, A319, Лист2!B:B, B319)</f>
        <v>16010</v>
      </c>
      <c r="H319" s="7">
        <f t="shared" si="0"/>
        <v>476515.17499999999</v>
      </c>
      <c r="I319" s="21">
        <f t="shared" si="5"/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SUMIFS(Лист2!C:C, Лист2!A:A, A320, Лист2!B:B, B320)</f>
        <v>59</v>
      </c>
      <c r="F320" s="7">
        <f>SUMIFS(Лист2!D:D, Лист2!A:A, A320, Лист2!B:B, B320)</f>
        <v>12983</v>
      </c>
      <c r="G320" s="7">
        <f>SUMIFS(Лист2!E:E, Лист2!A:A, A320, Лист2!B:B, B320)</f>
        <v>12056</v>
      </c>
      <c r="H320" s="7">
        <f t="shared" si="0"/>
        <v>348860.05932203389</v>
      </c>
      <c r="I320" s="21">
        <f t="shared" si="5"/>
        <v>22</v>
      </c>
    </row>
    <row r="321" spans="1:9" ht="14.25" customHeight="1" x14ac:dyDescent="0.25">
      <c r="A321" s="9">
        <v>43951</v>
      </c>
      <c r="B321" s="10" t="s">
        <v>21</v>
      </c>
      <c r="C321" s="10">
        <v>214386</v>
      </c>
      <c r="D321" s="10">
        <v>22530000</v>
      </c>
      <c r="E321" s="7">
        <f>SUMIFS(Лист2!C:C, Лист2!A:A, A321, Лист2!B:B, B321)</f>
        <v>59</v>
      </c>
      <c r="F321" s="7">
        <f>SUMIFS(Лист2!D:D, Лист2!A:A, A321, Лист2!B:B, B321)</f>
        <v>13251</v>
      </c>
      <c r="G321" s="7">
        <f>SUMIFS(Лист2!E:E, Лист2!A:A, A321, Лист2!B:B, B321)</f>
        <v>12255</v>
      </c>
      <c r="H321" s="7">
        <f t="shared" si="0"/>
        <v>381864.40677966102</v>
      </c>
      <c r="I321" s="21">
        <f t="shared" si="5"/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SUMIFS(Лист2!C:C, Лист2!A:A, A322, Лист2!B:B, B322)</f>
        <v>59</v>
      </c>
      <c r="F322" s="7">
        <f>SUMIFS(Лист2!D:D, Лист2!A:A, A322, Лист2!B:B, B322)</f>
        <v>14569</v>
      </c>
      <c r="G322" s="7">
        <f>SUMIFS(Лист2!E:E, Лист2!A:A, A322, Лист2!B:B, B322)</f>
        <v>13566</v>
      </c>
      <c r="H322" s="7">
        <f t="shared" si="0"/>
        <v>421871.26271186443</v>
      </c>
      <c r="I322" s="21">
        <f t="shared" si="5"/>
        <v>19</v>
      </c>
    </row>
    <row r="323" spans="1:9" ht="14.25" customHeight="1" x14ac:dyDescent="0.25">
      <c r="A323" s="9">
        <v>43959</v>
      </c>
      <c r="B323" s="10" t="s">
        <v>21</v>
      </c>
      <c r="C323" s="10">
        <v>232701</v>
      </c>
      <c r="D323" s="10">
        <v>23881948.5</v>
      </c>
      <c r="E323" s="7">
        <f>SUMIFS(Лист2!C:C, Лист2!A:A, A323, Лист2!B:B, B323)</f>
        <v>59</v>
      </c>
      <c r="F323" s="7">
        <f>SUMIFS(Лист2!D:D, Лист2!A:A, A323, Лист2!B:B, B323)</f>
        <v>14098</v>
      </c>
      <c r="G323" s="7">
        <f>SUMIFS(Лист2!E:E, Лист2!A:A, A323, Лист2!B:B, B323)</f>
        <v>13106</v>
      </c>
      <c r="H323" s="7">
        <f t="shared" si="0"/>
        <v>404778.78813559323</v>
      </c>
      <c r="I323" s="21">
        <f t="shared" ref="I323:I386" si="6">_xlfn.ISOWEEKNUM(A323)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SUMIFS(Лист2!C:C, Лист2!A:A, A324, Лист2!B:B, B324)</f>
        <v>59</v>
      </c>
      <c r="F324" s="7">
        <f>SUMIFS(Лист2!D:D, Лист2!A:A, A324, Лист2!B:B, B324)</f>
        <v>13495</v>
      </c>
      <c r="G324" s="7">
        <f>SUMIFS(Лист2!E:E, Лист2!A:A, A324, Лист2!B:B, B324)</f>
        <v>12517</v>
      </c>
      <c r="H324" s="7">
        <f t="shared" si="0"/>
        <v>380680.16949152545</v>
      </c>
      <c r="I324" s="21">
        <f t="shared" si="6"/>
        <v>19</v>
      </c>
    </row>
    <row r="325" spans="1:9" ht="14.25" customHeight="1" x14ac:dyDescent="0.25">
      <c r="A325" s="9">
        <v>43975</v>
      </c>
      <c r="B325" s="10" t="s">
        <v>21</v>
      </c>
      <c r="C325" s="10">
        <v>200029.5</v>
      </c>
      <c r="D325" s="10">
        <v>19959801</v>
      </c>
      <c r="E325" s="7">
        <f>SUMIFS(Лист2!C:C, Лист2!A:A, A325, Лист2!B:B, B325)</f>
        <v>60</v>
      </c>
      <c r="F325" s="7">
        <f>SUMIFS(Лист2!D:D, Лист2!A:A, A325, Лист2!B:B, B325)</f>
        <v>12822</v>
      </c>
      <c r="G325" s="7">
        <f>SUMIFS(Лист2!E:E, Лист2!A:A, A325, Лист2!B:B, B325)</f>
        <v>11916</v>
      </c>
      <c r="H325" s="7">
        <f t="shared" si="0"/>
        <v>332663.34999999998</v>
      </c>
      <c r="I325" s="21">
        <f t="shared" si="6"/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SUMIFS(Лист2!C:C, Лист2!A:A, A326, Лист2!B:B, B326)</f>
        <v>54</v>
      </c>
      <c r="F326" s="7">
        <f>SUMIFS(Лист2!D:D, Лист2!A:A, A326, Лист2!B:B, B326)</f>
        <v>13170</v>
      </c>
      <c r="G326" s="7">
        <f>SUMIFS(Лист2!E:E, Лист2!A:A, A326, Лист2!B:B, B326)</f>
        <v>12299</v>
      </c>
      <c r="H326" s="7">
        <f t="shared" si="0"/>
        <v>413987.75</v>
      </c>
      <c r="I326" s="21">
        <f t="shared" si="6"/>
        <v>20</v>
      </c>
    </row>
    <row r="327" spans="1:9" ht="14.25" customHeight="1" x14ac:dyDescent="0.25">
      <c r="A327" s="9">
        <v>43970</v>
      </c>
      <c r="B327" s="10" t="s">
        <v>22</v>
      </c>
      <c r="C327" s="10">
        <v>211453.5</v>
      </c>
      <c r="D327" s="10">
        <v>20590072.5</v>
      </c>
      <c r="E327" s="7">
        <f>SUMIFS(Лист2!C:C, Лист2!A:A, A327, Лист2!B:B, B327)</f>
        <v>54</v>
      </c>
      <c r="F327" s="7">
        <f>SUMIFS(Лист2!D:D, Лист2!A:A, A327, Лист2!B:B, B327)</f>
        <v>13070</v>
      </c>
      <c r="G327" s="7">
        <f>SUMIFS(Лист2!E:E, Лист2!A:A, A327, Лист2!B:B, B327)</f>
        <v>12244</v>
      </c>
      <c r="H327" s="7">
        <f t="shared" si="0"/>
        <v>381297.63888888888</v>
      </c>
      <c r="I327" s="21">
        <f t="shared" si="6"/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SUMIFS(Лист2!C:C, Лист2!A:A, A328, Лист2!B:B, B328)</f>
        <v>54</v>
      </c>
      <c r="F328" s="7">
        <f>SUMIFS(Лист2!D:D, Лист2!A:A, A328, Лист2!B:B, B328)</f>
        <v>11128</v>
      </c>
      <c r="G328" s="7">
        <f>SUMIFS(Лист2!E:E, Лист2!A:A, A328, Лист2!B:B, B328)</f>
        <v>10467</v>
      </c>
      <c r="H328" s="7">
        <f t="shared" si="0"/>
        <v>341649.83333333331</v>
      </c>
      <c r="I328" s="21">
        <f t="shared" si="6"/>
        <v>20</v>
      </c>
    </row>
    <row r="329" spans="1:9" ht="14.25" customHeight="1" x14ac:dyDescent="0.25">
      <c r="A329" s="9">
        <v>43960</v>
      </c>
      <c r="B329" s="10" t="s">
        <v>22</v>
      </c>
      <c r="C329" s="10">
        <v>177976.5</v>
      </c>
      <c r="D329" s="10">
        <v>18085798.5</v>
      </c>
      <c r="E329" s="7">
        <f>SUMIFS(Лист2!C:C, Лист2!A:A, A329, Лист2!B:B, B329)</f>
        <v>54</v>
      </c>
      <c r="F329" s="7">
        <f>SUMIFS(Лист2!D:D, Лист2!A:A, A329, Лист2!B:B, B329)</f>
        <v>11288</v>
      </c>
      <c r="G329" s="7">
        <f>SUMIFS(Лист2!E:E, Лист2!A:A, A329, Лист2!B:B, B329)</f>
        <v>10492</v>
      </c>
      <c r="H329" s="7">
        <f t="shared" si="0"/>
        <v>334922.19444444444</v>
      </c>
      <c r="I329" s="21">
        <f t="shared" si="6"/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SUMIFS(Лист2!C:C, Лист2!A:A, A330, Лист2!B:B, B330)</f>
        <v>54</v>
      </c>
      <c r="F330" s="7">
        <f>SUMIFS(Лист2!D:D, Лист2!A:A, A330, Лист2!B:B, B330)</f>
        <v>13606</v>
      </c>
      <c r="G330" s="7">
        <f>SUMIFS(Лист2!E:E, Лист2!A:A, A330, Лист2!B:B, B330)</f>
        <v>12697</v>
      </c>
      <c r="H330" s="7">
        <f t="shared" si="0"/>
        <v>422163.47222222225</v>
      </c>
      <c r="I330" s="21">
        <f t="shared" si="6"/>
        <v>19</v>
      </c>
    </row>
    <row r="331" spans="1:9" ht="14.25" customHeight="1" x14ac:dyDescent="0.25">
      <c r="A331" s="9">
        <v>43953</v>
      </c>
      <c r="B331" s="10" t="s">
        <v>22</v>
      </c>
      <c r="C331" s="10">
        <v>176397</v>
      </c>
      <c r="D331" s="10">
        <v>18625921.5</v>
      </c>
      <c r="E331" s="7">
        <f>SUMIFS(Лист2!C:C, Лист2!A:A, A331, Лист2!B:B, B331)</f>
        <v>54</v>
      </c>
      <c r="F331" s="7">
        <f>SUMIFS(Лист2!D:D, Лист2!A:A, A331, Лист2!B:B, B331)</f>
        <v>11622</v>
      </c>
      <c r="G331" s="7">
        <f>SUMIFS(Лист2!E:E, Лист2!A:A, A331, Лист2!B:B, B331)</f>
        <v>10754</v>
      </c>
      <c r="H331" s="7">
        <f t="shared" si="0"/>
        <v>344924.47222222225</v>
      </c>
      <c r="I331" s="21">
        <f t="shared" si="6"/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SUMIFS(Лист2!C:C, Лист2!A:A, A332, Лист2!B:B, B332)</f>
        <v>54</v>
      </c>
      <c r="F332" s="7">
        <f>SUMIFS(Лист2!D:D, Лист2!A:A, A332, Лист2!B:B, B332)</f>
        <v>14482</v>
      </c>
      <c r="G332" s="7">
        <f>SUMIFS(Лист2!E:E, Лист2!A:A, A332, Лист2!B:B, B332)</f>
        <v>13510</v>
      </c>
      <c r="H332" s="7">
        <f t="shared" si="0"/>
        <v>441784.16666666669</v>
      </c>
      <c r="I332" s="21">
        <f t="shared" si="6"/>
        <v>22</v>
      </c>
    </row>
    <row r="333" spans="1:9" ht="14.25" customHeight="1" x14ac:dyDescent="0.25">
      <c r="A333" s="9">
        <v>43952</v>
      </c>
      <c r="B333" s="10" t="s">
        <v>22</v>
      </c>
      <c r="C333" s="10">
        <v>226540.5</v>
      </c>
      <c r="D333" s="10">
        <v>23953536</v>
      </c>
      <c r="E333" s="7">
        <f>SUMIFS(Лист2!C:C, Лист2!A:A, A333, Лист2!B:B, B333)</f>
        <v>54</v>
      </c>
      <c r="F333" s="7">
        <f>SUMIFS(Лист2!D:D, Лист2!A:A, A333, Лист2!B:B, B333)</f>
        <v>14205</v>
      </c>
      <c r="G333" s="7">
        <f>SUMIFS(Лист2!E:E, Лист2!A:A, A333, Лист2!B:B, B333)</f>
        <v>13026</v>
      </c>
      <c r="H333" s="7">
        <f t="shared" si="0"/>
        <v>443584</v>
      </c>
      <c r="I333" s="21">
        <f t="shared" si="6"/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SUMIFS(Лист2!C:C, Лист2!A:A, A334, Лист2!B:B, B334)</f>
        <v>54</v>
      </c>
      <c r="F334" s="7">
        <f>SUMIFS(Лист2!D:D, Лист2!A:A, A334, Лист2!B:B, B334)</f>
        <v>11614</v>
      </c>
      <c r="G334" s="7">
        <f>SUMIFS(Лист2!E:E, Лист2!A:A, A334, Лист2!B:B, B334)</f>
        <v>10862</v>
      </c>
      <c r="H334" s="7">
        <f t="shared" si="0"/>
        <v>346630.30555555556</v>
      </c>
      <c r="I334" s="21">
        <f t="shared" si="6"/>
        <v>20</v>
      </c>
    </row>
    <row r="335" spans="1:9" ht="14.25" customHeight="1" x14ac:dyDescent="0.25">
      <c r="A335" s="9">
        <v>43972</v>
      </c>
      <c r="B335" s="10" t="s">
        <v>22</v>
      </c>
      <c r="C335" s="10">
        <v>213640.5</v>
      </c>
      <c r="D335" s="10">
        <v>21042673.5</v>
      </c>
      <c r="E335" s="7">
        <f>SUMIFS(Лист2!C:C, Лист2!A:A, A335, Лист2!B:B, B335)</f>
        <v>54</v>
      </c>
      <c r="F335" s="7">
        <f>SUMIFS(Лист2!D:D, Лист2!A:A, A335, Лист2!B:B, B335)</f>
        <v>13240</v>
      </c>
      <c r="G335" s="7">
        <f>SUMIFS(Лист2!E:E, Лист2!A:A, A335, Лист2!B:B, B335)</f>
        <v>12360</v>
      </c>
      <c r="H335" s="7">
        <f t="shared" si="0"/>
        <v>389679.13888888888</v>
      </c>
      <c r="I335" s="21">
        <f t="shared" si="6"/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SUMIFS(Лист2!C:C, Лист2!A:A, A336, Лист2!B:B, B336)</f>
        <v>54</v>
      </c>
      <c r="F336" s="7">
        <f>SUMIFS(Лист2!D:D, Лист2!A:A, A336, Лист2!B:B, B336)</f>
        <v>13298</v>
      </c>
      <c r="G336" s="7">
        <f>SUMIFS(Лист2!E:E, Лист2!A:A, A336, Лист2!B:B, B336)</f>
        <v>12428</v>
      </c>
      <c r="H336" s="7">
        <f t="shared" si="0"/>
        <v>396506.47222222225</v>
      </c>
      <c r="I336" s="21">
        <f t="shared" si="6"/>
        <v>21</v>
      </c>
    </row>
    <row r="337" spans="1:9" ht="14.25" customHeight="1" x14ac:dyDescent="0.25">
      <c r="A337" s="9">
        <v>43956</v>
      </c>
      <c r="B337" s="10" t="s">
        <v>22</v>
      </c>
      <c r="C337" s="10">
        <v>203832</v>
      </c>
      <c r="D337" s="10">
        <v>20880142.5</v>
      </c>
      <c r="E337" s="7">
        <f>SUMIFS(Лист2!C:C, Лист2!A:A, A337, Лист2!B:B, B337)</f>
        <v>54</v>
      </c>
      <c r="F337" s="7">
        <f>SUMIFS(Лист2!D:D, Лист2!A:A, A337, Лист2!B:B, B337)</f>
        <v>12775</v>
      </c>
      <c r="G337" s="7">
        <f>SUMIFS(Лист2!E:E, Лист2!A:A, A337, Лист2!B:B, B337)</f>
        <v>11887</v>
      </c>
      <c r="H337" s="7">
        <f t="shared" si="0"/>
        <v>386669.30555555556</v>
      </c>
      <c r="I337" s="21">
        <f t="shared" si="6"/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SUMIFS(Лист2!C:C, Лист2!A:A, A338, Лист2!B:B, B338)</f>
        <v>54</v>
      </c>
      <c r="F338" s="7">
        <f>SUMIFS(Лист2!D:D, Лист2!A:A, A338, Лист2!B:B, B338)</f>
        <v>11522</v>
      </c>
      <c r="G338" s="7">
        <f>SUMIFS(Лист2!E:E, Лист2!A:A, A338, Лист2!B:B, B338)</f>
        <v>10803</v>
      </c>
      <c r="H338" s="7">
        <f t="shared" si="0"/>
        <v>347851.86111111112</v>
      </c>
      <c r="I338" s="21">
        <f t="shared" si="6"/>
        <v>20</v>
      </c>
    </row>
    <row r="339" spans="1:9" ht="14.25" customHeight="1" x14ac:dyDescent="0.25">
      <c r="A339" s="9">
        <v>43982</v>
      </c>
      <c r="B339" s="10" t="s">
        <v>21</v>
      </c>
      <c r="C339" s="10">
        <v>215277</v>
      </c>
      <c r="D339" s="10">
        <v>21585316.5</v>
      </c>
      <c r="E339" s="7">
        <f>SUMIFS(Лист2!C:C, Лист2!A:A, A339, Лист2!B:B, B339)</f>
        <v>59</v>
      </c>
      <c r="F339" s="7">
        <f>SUMIFS(Лист2!D:D, Лист2!A:A, A339, Лист2!B:B, B339)</f>
        <v>13684</v>
      </c>
      <c r="G339" s="7">
        <f>SUMIFS(Лист2!E:E, Лист2!A:A, A339, Лист2!B:B, B339)</f>
        <v>12690</v>
      </c>
      <c r="H339" s="7">
        <f t="shared" si="0"/>
        <v>365852.82203389832</v>
      </c>
      <c r="I339" s="21">
        <f t="shared" si="6"/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SUMIFS(Лист2!C:C, Лист2!A:A, A340, Лист2!B:B, B340)</f>
        <v>54</v>
      </c>
      <c r="F340" s="7">
        <f>SUMIFS(Лист2!D:D, Лист2!A:A, A340, Лист2!B:B, B340)</f>
        <v>14823</v>
      </c>
      <c r="G340" s="7">
        <f>SUMIFS(Лист2!E:E, Лист2!A:A, A340, Лист2!B:B, B340)</f>
        <v>13751</v>
      </c>
      <c r="H340" s="7">
        <f t="shared" si="0"/>
        <v>472575.41666666669</v>
      </c>
      <c r="I340" s="21">
        <f t="shared" si="6"/>
        <v>18</v>
      </c>
    </row>
    <row r="341" spans="1:9" ht="14.25" customHeight="1" x14ac:dyDescent="0.25">
      <c r="A341" s="9">
        <v>43981</v>
      </c>
      <c r="B341" s="10" t="s">
        <v>21</v>
      </c>
      <c r="C341" s="10">
        <v>246414</v>
      </c>
      <c r="D341" s="10">
        <v>24527245.5</v>
      </c>
      <c r="E341" s="7">
        <f>SUMIFS(Лист2!C:C, Лист2!A:A, A341, Лист2!B:B, B341)</f>
        <v>59</v>
      </c>
      <c r="F341" s="7">
        <f>SUMIFS(Лист2!D:D, Лист2!A:A, A341, Лист2!B:B, B341)</f>
        <v>15030</v>
      </c>
      <c r="G341" s="7">
        <f>SUMIFS(Лист2!E:E, Лист2!A:A, A341, Лист2!B:B, B341)</f>
        <v>13956</v>
      </c>
      <c r="H341" s="7">
        <f t="shared" si="0"/>
        <v>415716.0254237288</v>
      </c>
      <c r="I341" s="21">
        <f t="shared" si="6"/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SUMIFS(Лист2!C:C, Лист2!A:A, A342, Лист2!B:B, B342)</f>
        <v>54</v>
      </c>
      <c r="F342" s="7">
        <f>SUMIFS(Лист2!D:D, Лист2!A:A, A342, Лист2!B:B, B342)</f>
        <v>13406</v>
      </c>
      <c r="G342" s="7">
        <f>SUMIFS(Лист2!E:E, Лист2!A:A, A342, Лист2!B:B, B342)</f>
        <v>12518</v>
      </c>
      <c r="H342" s="7">
        <f t="shared" si="0"/>
        <v>409748.97222222225</v>
      </c>
      <c r="I342" s="21">
        <f t="shared" si="6"/>
        <v>19</v>
      </c>
    </row>
    <row r="343" spans="1:9" ht="14.25" customHeight="1" x14ac:dyDescent="0.25">
      <c r="A343" s="9">
        <v>43974</v>
      </c>
      <c r="B343" s="10" t="s">
        <v>22</v>
      </c>
      <c r="C343" s="10">
        <v>275793</v>
      </c>
      <c r="D343" s="10">
        <v>26806626</v>
      </c>
      <c r="E343" s="7">
        <f>SUMIFS(Лист2!C:C, Лист2!A:A, A343, Лист2!B:B, B343)</f>
        <v>54</v>
      </c>
      <c r="F343" s="7">
        <f>SUMIFS(Лист2!D:D, Лист2!A:A, A343, Лист2!B:B, B343)</f>
        <v>16221</v>
      </c>
      <c r="G343" s="7">
        <f>SUMIFS(Лист2!E:E, Лист2!A:A, A343, Лист2!B:B, B343)</f>
        <v>15065</v>
      </c>
      <c r="H343" s="7">
        <f t="shared" si="0"/>
        <v>496419</v>
      </c>
      <c r="I343" s="21">
        <f t="shared" si="6"/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SUMIFS(Лист2!C:C, Лист2!A:A, A344, Лист2!B:B, B344)</f>
        <v>60</v>
      </c>
      <c r="F344" s="7">
        <f>SUMIFS(Лист2!D:D, Лист2!A:A, A344, Лист2!B:B, B344)</f>
        <v>12854</v>
      </c>
      <c r="G344" s="7">
        <f>SUMIFS(Лист2!E:E, Лист2!A:A, A344, Лист2!B:B, B344)</f>
        <v>11954</v>
      </c>
      <c r="H344" s="7">
        <f t="shared" si="0"/>
        <v>342262.22499999998</v>
      </c>
      <c r="I344" s="21">
        <f t="shared" si="6"/>
        <v>22</v>
      </c>
    </row>
    <row r="345" spans="1:9" ht="14.25" customHeight="1" x14ac:dyDescent="0.25">
      <c r="A345" s="9">
        <v>43976</v>
      </c>
      <c r="B345" s="10" t="s">
        <v>22</v>
      </c>
      <c r="C345" s="10">
        <v>192948</v>
      </c>
      <c r="D345" s="10">
        <v>19806927</v>
      </c>
      <c r="E345" s="7">
        <f>SUMIFS(Лист2!C:C, Лист2!A:A, A345, Лист2!B:B, B345)</f>
        <v>54</v>
      </c>
      <c r="F345" s="7">
        <f>SUMIFS(Лист2!D:D, Лист2!A:A, A345, Лист2!B:B, B345)</f>
        <v>12336</v>
      </c>
      <c r="G345" s="7">
        <f>SUMIFS(Лист2!E:E, Лист2!A:A, A345, Лист2!B:B, B345)</f>
        <v>11519</v>
      </c>
      <c r="H345" s="7">
        <f t="shared" si="0"/>
        <v>366794.94444444444</v>
      </c>
      <c r="I345" s="21">
        <f t="shared" si="6"/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SUMIFS(Лист2!C:C, Лист2!A:A, A346, Лист2!B:B, B346)</f>
        <v>54</v>
      </c>
      <c r="F346" s="7">
        <f>SUMIFS(Лист2!D:D, Лист2!A:A, A346, Лист2!B:B, B346)</f>
        <v>12817</v>
      </c>
      <c r="G346" s="7">
        <f>SUMIFS(Лист2!E:E, Лист2!A:A, A346, Лист2!B:B, B346)</f>
        <v>11865</v>
      </c>
      <c r="H346" s="7">
        <f t="shared" si="0"/>
        <v>402601.11111111112</v>
      </c>
      <c r="I346" s="21">
        <f t="shared" si="6"/>
        <v>18</v>
      </c>
    </row>
    <row r="347" spans="1:9" ht="14.25" customHeight="1" x14ac:dyDescent="0.25">
      <c r="A347" s="9">
        <v>43961</v>
      </c>
      <c r="B347" s="10" t="s">
        <v>22</v>
      </c>
      <c r="C347" s="10">
        <v>231559.5</v>
      </c>
      <c r="D347" s="10">
        <v>23443725</v>
      </c>
      <c r="E347" s="7">
        <f>SUMIFS(Лист2!C:C, Лист2!A:A, A347, Лист2!B:B, B347)</f>
        <v>54</v>
      </c>
      <c r="F347" s="7">
        <f>SUMIFS(Лист2!D:D, Лист2!A:A, A347, Лист2!B:B, B347)</f>
        <v>13832</v>
      </c>
      <c r="G347" s="7">
        <f>SUMIFS(Лист2!E:E, Лист2!A:A, A347, Лист2!B:B, B347)</f>
        <v>12864</v>
      </c>
      <c r="H347" s="7">
        <f t="shared" si="0"/>
        <v>434143.05555555556</v>
      </c>
      <c r="I347" s="21">
        <f t="shared" si="6"/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SUMIFS(Лист2!C:C, Лист2!A:A, A348, Лист2!B:B, B348)</f>
        <v>54</v>
      </c>
      <c r="F348" s="7">
        <f>SUMIFS(Лист2!D:D, Лист2!A:A, A348, Лист2!B:B, B348)</f>
        <v>13563</v>
      </c>
      <c r="G348" s="7">
        <f>SUMIFS(Лист2!E:E, Лист2!A:A, A348, Лист2!B:B, B348)</f>
        <v>12604</v>
      </c>
      <c r="H348" s="7">
        <f t="shared" si="0"/>
        <v>423075.52777777775</v>
      </c>
      <c r="I348" s="21">
        <f t="shared" si="6"/>
        <v>19</v>
      </c>
    </row>
    <row r="349" spans="1:9" ht="14.25" customHeight="1" x14ac:dyDescent="0.25">
      <c r="A349" s="9">
        <v>43958</v>
      </c>
      <c r="B349" s="10" t="s">
        <v>22</v>
      </c>
      <c r="C349" s="10">
        <v>209415</v>
      </c>
      <c r="D349" s="10">
        <v>21463023</v>
      </c>
      <c r="E349" s="7">
        <f>SUMIFS(Лист2!C:C, Лист2!A:A, A349, Лист2!B:B, B349)</f>
        <v>54</v>
      </c>
      <c r="F349" s="7">
        <f>SUMIFS(Лист2!D:D, Лист2!A:A, A349, Лист2!B:B, B349)</f>
        <v>12743</v>
      </c>
      <c r="G349" s="7">
        <f>SUMIFS(Лист2!E:E, Лист2!A:A, A349, Лист2!B:B, B349)</f>
        <v>11858</v>
      </c>
      <c r="H349" s="7">
        <f t="shared" si="0"/>
        <v>397463.38888888888</v>
      </c>
      <c r="I349" s="21">
        <f t="shared" si="6"/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SUMIFS(Лист2!C:C, Лист2!A:A, A350, Лист2!B:B, B350)</f>
        <v>54</v>
      </c>
      <c r="F350" s="7">
        <f>SUMIFS(Лист2!D:D, Лист2!A:A, A350, Лист2!B:B, B350)</f>
        <v>12211</v>
      </c>
      <c r="G350" s="7">
        <f>SUMIFS(Лист2!E:E, Лист2!A:A, A350, Лист2!B:B, B350)</f>
        <v>11427</v>
      </c>
      <c r="H350" s="7">
        <f t="shared" si="0"/>
        <v>353168.83333333331</v>
      </c>
      <c r="I350" s="21">
        <f t="shared" si="6"/>
        <v>21</v>
      </c>
    </row>
    <row r="351" spans="1:9" ht="14.25" customHeight="1" x14ac:dyDescent="0.25">
      <c r="A351" s="9">
        <v>43950</v>
      </c>
      <c r="B351" s="10" t="s">
        <v>23</v>
      </c>
      <c r="C351" s="10">
        <v>12250.5</v>
      </c>
      <c r="D351" s="10">
        <v>981519</v>
      </c>
      <c r="E351" s="7">
        <f>SUMIFS(Лист2!C:C, Лист2!A:A, A351, Лист2!B:B, B351)</f>
        <v>15</v>
      </c>
      <c r="F351" s="7">
        <f>SUMIFS(Лист2!D:D, Лист2!A:A, A351, Лист2!B:B, B351)</f>
        <v>659</v>
      </c>
      <c r="G351" s="7">
        <f>SUMIFS(Лист2!E:E, Лист2!A:A, A351, Лист2!B:B, B351)</f>
        <v>575</v>
      </c>
      <c r="H351" s="7">
        <f t="shared" si="0"/>
        <v>65434.6</v>
      </c>
      <c r="I351" s="21">
        <f t="shared" si="6"/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SUMIFS(Лист2!C:C, Лист2!A:A, A352, Лист2!B:B, B352)</f>
        <v>15</v>
      </c>
      <c r="F352" s="7">
        <f>SUMIFS(Лист2!D:D, Лист2!A:A, A352, Лист2!B:B, B352)</f>
        <v>636</v>
      </c>
      <c r="G352" s="7">
        <f>SUMIFS(Лист2!E:E, Лист2!A:A, A352, Лист2!B:B, B352)</f>
        <v>547</v>
      </c>
      <c r="H352" s="7">
        <f t="shared" si="0"/>
        <v>66169.399999999994</v>
      </c>
      <c r="I352" s="21">
        <f t="shared" si="6"/>
        <v>18</v>
      </c>
    </row>
    <row r="353" spans="1:9" ht="14.25" customHeight="1" x14ac:dyDescent="0.25">
      <c r="A353" s="9">
        <v>43982</v>
      </c>
      <c r="B353" s="10" t="s">
        <v>22</v>
      </c>
      <c r="C353" s="10">
        <v>206758.5</v>
      </c>
      <c r="D353" s="10">
        <v>20717248.5</v>
      </c>
      <c r="E353" s="7">
        <f>SUMIFS(Лист2!C:C, Лист2!A:A, A353, Лист2!B:B, B353)</f>
        <v>54</v>
      </c>
      <c r="F353" s="7">
        <f>SUMIFS(Лист2!D:D, Лист2!A:A, A353, Лист2!B:B, B353)</f>
        <v>13106</v>
      </c>
      <c r="G353" s="7">
        <f>SUMIFS(Лист2!E:E, Лист2!A:A, A353, Лист2!B:B, B353)</f>
        <v>12164</v>
      </c>
      <c r="H353" s="7">
        <f t="shared" si="0"/>
        <v>383652.75</v>
      </c>
      <c r="I353" s="21">
        <f t="shared" si="6"/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SUMIFS(Лист2!C:C, Лист2!A:A, A354, Лист2!B:B, B354)</f>
        <v>54</v>
      </c>
      <c r="F354" s="7">
        <f>SUMIFS(Лист2!D:D, Лист2!A:A, A354, Лист2!B:B, B354)</f>
        <v>14590</v>
      </c>
      <c r="G354" s="7">
        <f>SUMIFS(Лист2!E:E, Лист2!A:A, A354, Лист2!B:B, B354)</f>
        <v>13551</v>
      </c>
      <c r="H354" s="7">
        <f t="shared" si="0"/>
        <v>447258.88888888888</v>
      </c>
      <c r="I354" s="21">
        <f t="shared" si="6"/>
        <v>22</v>
      </c>
    </row>
    <row r="355" spans="1:9" ht="14.25" customHeight="1" x14ac:dyDescent="0.25">
      <c r="A355" s="9">
        <v>43979</v>
      </c>
      <c r="B355" s="10" t="s">
        <v>22</v>
      </c>
      <c r="C355" s="10">
        <v>191641.5</v>
      </c>
      <c r="D355" s="10">
        <v>19549036.5</v>
      </c>
      <c r="E355" s="7">
        <f>SUMIFS(Лист2!C:C, Лист2!A:A, A355, Лист2!B:B, B355)</f>
        <v>54</v>
      </c>
      <c r="F355" s="7">
        <f>SUMIFS(Лист2!D:D, Лист2!A:A, A355, Лист2!B:B, B355)</f>
        <v>12409</v>
      </c>
      <c r="G355" s="7">
        <f>SUMIFS(Лист2!E:E, Лист2!A:A, A355, Лист2!B:B, B355)</f>
        <v>11582</v>
      </c>
      <c r="H355" s="7">
        <f t="shared" si="0"/>
        <v>362019.19444444444</v>
      </c>
      <c r="I355" s="21">
        <f t="shared" si="6"/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SUMIFS(Лист2!C:C, Лист2!A:A, A356, Лист2!B:B, B356)</f>
        <v>16</v>
      </c>
      <c r="F356" s="7">
        <f>SUMIFS(Лист2!D:D, Лист2!A:A, A356, Лист2!B:B, B356)</f>
        <v>920</v>
      </c>
      <c r="G356" s="7">
        <f>SUMIFS(Лист2!E:E, Лист2!A:A, A356, Лист2!B:B, B356)</f>
        <v>818</v>
      </c>
      <c r="H356" s="7">
        <f t="shared" si="0"/>
        <v>82271.90625</v>
      </c>
      <c r="I356" s="21">
        <f t="shared" si="6"/>
        <v>20</v>
      </c>
    </row>
    <row r="357" spans="1:9" ht="14.25" customHeight="1" x14ac:dyDescent="0.25">
      <c r="A357" s="9">
        <v>43970</v>
      </c>
      <c r="B357" s="10" t="s">
        <v>23</v>
      </c>
      <c r="C357" s="10">
        <v>14427</v>
      </c>
      <c r="D357" s="10">
        <v>1126810.5</v>
      </c>
      <c r="E357" s="7">
        <f>SUMIFS(Лист2!C:C, Лист2!A:A, A357, Лист2!B:B, B357)</f>
        <v>17</v>
      </c>
      <c r="F357" s="7">
        <f>SUMIFS(Лист2!D:D, Лист2!A:A, A357, Лист2!B:B, B357)</f>
        <v>857</v>
      </c>
      <c r="G357" s="7">
        <f>SUMIFS(Лист2!E:E, Лист2!A:A, A357, Лист2!B:B, B357)</f>
        <v>757</v>
      </c>
      <c r="H357" s="7">
        <f t="shared" si="0"/>
        <v>66282.970588235301</v>
      </c>
      <c r="I357" s="21">
        <f t="shared" si="6"/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SUMIFS(Лист2!C:C, Лист2!A:A, A358, Лист2!B:B, B358)</f>
        <v>16</v>
      </c>
      <c r="F358" s="7">
        <f>SUMIFS(Лист2!D:D, Лист2!A:A, A358, Лист2!B:B, B358)</f>
        <v>859</v>
      </c>
      <c r="G358" s="7">
        <f>SUMIFS(Лист2!E:E, Лист2!A:A, A358, Лист2!B:B, B358)</f>
        <v>746</v>
      </c>
      <c r="H358" s="7">
        <f t="shared" si="0"/>
        <v>72345.5625</v>
      </c>
      <c r="I358" s="21">
        <f t="shared" si="6"/>
        <v>20</v>
      </c>
    </row>
    <row r="359" spans="1:9" ht="14.25" customHeight="1" x14ac:dyDescent="0.25">
      <c r="A359" s="9">
        <v>43960</v>
      </c>
      <c r="B359" s="10" t="s">
        <v>23</v>
      </c>
      <c r="C359" s="10">
        <v>11745</v>
      </c>
      <c r="D359" s="10">
        <v>955801.5</v>
      </c>
      <c r="E359" s="7">
        <f>SUMIFS(Лист2!C:C, Лист2!A:A, A359, Лист2!B:B, B359)</f>
        <v>15</v>
      </c>
      <c r="F359" s="7">
        <f>SUMIFS(Лист2!D:D, Лист2!A:A, A359, Лист2!B:B, B359)</f>
        <v>654</v>
      </c>
      <c r="G359" s="7">
        <f>SUMIFS(Лист2!E:E, Лист2!A:A, A359, Лист2!B:B, B359)</f>
        <v>570</v>
      </c>
      <c r="H359" s="7">
        <f t="shared" si="0"/>
        <v>63720.1</v>
      </c>
      <c r="I359" s="21">
        <f t="shared" si="6"/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SUMIFS(Лист2!C:C, Лист2!A:A, A360, Лист2!B:B, B360)</f>
        <v>15</v>
      </c>
      <c r="F360" s="7">
        <f>SUMIFS(Лист2!D:D, Лист2!A:A, A360, Лист2!B:B, B360)</f>
        <v>622</v>
      </c>
      <c r="G360" s="7">
        <f>SUMIFS(Лист2!E:E, Лист2!A:A, A360, Лист2!B:B, B360)</f>
        <v>538</v>
      </c>
      <c r="H360" s="7">
        <f t="shared" si="0"/>
        <v>60422.9</v>
      </c>
      <c r="I360" s="21">
        <f t="shared" si="6"/>
        <v>19</v>
      </c>
    </row>
    <row r="361" spans="1:9" ht="14.25" customHeight="1" x14ac:dyDescent="0.25">
      <c r="A361" s="9">
        <v>43953</v>
      </c>
      <c r="B361" s="10" t="s">
        <v>23</v>
      </c>
      <c r="C361" s="10">
        <v>10018.5</v>
      </c>
      <c r="D361" s="10">
        <v>816859.5</v>
      </c>
      <c r="E361" s="7">
        <f>SUMIFS(Лист2!C:C, Лист2!A:A, A361, Лист2!B:B, B361)</f>
        <v>15</v>
      </c>
      <c r="F361" s="7">
        <f>SUMIFS(Лист2!D:D, Лист2!A:A, A361, Лист2!B:B, B361)</f>
        <v>567</v>
      </c>
      <c r="G361" s="7">
        <f>SUMIFS(Лист2!E:E, Лист2!A:A, A361, Лист2!B:B, B361)</f>
        <v>493</v>
      </c>
      <c r="H361" s="7">
        <f t="shared" si="0"/>
        <v>54457.3</v>
      </c>
      <c r="I361" s="21">
        <f t="shared" si="6"/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SUMIFS(Лист2!C:C, Лист2!A:A, A362, Лист2!B:B, B362)</f>
        <v>7</v>
      </c>
      <c r="F362" s="7">
        <f>SUMIFS(Лист2!D:D, Лист2!A:A, A362, Лист2!B:B, B362)</f>
        <v>577</v>
      </c>
      <c r="G362" s="7">
        <f>SUMIFS(Лист2!E:E, Лист2!A:A, A362, Лист2!B:B, B362)</f>
        <v>389</v>
      </c>
      <c r="H362" s="7">
        <f t="shared" si="0"/>
        <v>119116.5</v>
      </c>
      <c r="I362" s="21">
        <f t="shared" si="6"/>
        <v>22</v>
      </c>
    </row>
    <row r="363" spans="1:9" ht="14.25" customHeight="1" x14ac:dyDescent="0.25">
      <c r="A363" s="9">
        <v>43952</v>
      </c>
      <c r="B363" s="10" t="s">
        <v>23</v>
      </c>
      <c r="C363" s="10">
        <v>13644</v>
      </c>
      <c r="D363" s="10">
        <v>1134444</v>
      </c>
      <c r="E363" s="7">
        <f>SUMIFS(Лист2!C:C, Лист2!A:A, A363, Лист2!B:B, B363)</f>
        <v>15</v>
      </c>
      <c r="F363" s="7">
        <f>SUMIFS(Лист2!D:D, Лист2!A:A, A363, Лист2!B:B, B363)</f>
        <v>721</v>
      </c>
      <c r="G363" s="7">
        <f>SUMIFS(Лист2!E:E, Лист2!A:A, A363, Лист2!B:B, B363)</f>
        <v>625</v>
      </c>
      <c r="H363" s="7">
        <f t="shared" si="0"/>
        <v>75629.600000000006</v>
      </c>
      <c r="I363" s="21">
        <f t="shared" si="6"/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SUMIFS(Лист2!C:C, Лист2!A:A, A364, Лист2!B:B, B364)</f>
        <v>15</v>
      </c>
      <c r="F364" s="7">
        <f>SUMIFS(Лист2!D:D, Лист2!A:A, A364, Лист2!B:B, B364)</f>
        <v>750</v>
      </c>
      <c r="G364" s="7">
        <f>SUMIFS(Лист2!E:E, Лист2!A:A, A364, Лист2!B:B, B364)</f>
        <v>659</v>
      </c>
      <c r="H364" s="7">
        <f t="shared" si="0"/>
        <v>72818.5</v>
      </c>
      <c r="I364" s="21">
        <f t="shared" si="6"/>
        <v>20</v>
      </c>
    </row>
    <row r="365" spans="1:9" ht="14.25" customHeight="1" x14ac:dyDescent="0.25">
      <c r="A365" s="9">
        <v>43972</v>
      </c>
      <c r="B365" s="10" t="s">
        <v>23</v>
      </c>
      <c r="C365" s="10">
        <v>14182.5</v>
      </c>
      <c r="D365" s="10">
        <v>1172574</v>
      </c>
      <c r="E365" s="7">
        <f>SUMIFS(Лист2!C:C, Лист2!A:A, A365, Лист2!B:B, B365)</f>
        <v>18</v>
      </c>
      <c r="F365" s="7">
        <f>SUMIFS(Лист2!D:D, Лист2!A:A, A365, Лист2!B:B, B365)</f>
        <v>888</v>
      </c>
      <c r="G365" s="7">
        <f>SUMIFS(Лист2!E:E, Лист2!A:A, A365, Лист2!B:B, B365)</f>
        <v>786</v>
      </c>
      <c r="H365" s="7">
        <f t="shared" si="0"/>
        <v>65143</v>
      </c>
      <c r="I365" s="21">
        <f t="shared" si="6"/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SUMIFS(Лист2!C:C, Лист2!A:A, A366, Лист2!B:B, B366)</f>
        <v>17</v>
      </c>
      <c r="F366" s="7">
        <f>SUMIFS(Лист2!D:D, Лист2!A:A, A366, Лист2!B:B, B366)</f>
        <v>890</v>
      </c>
      <c r="G366" s="7">
        <f>SUMIFS(Лист2!E:E, Лист2!A:A, A366, Лист2!B:B, B366)</f>
        <v>794</v>
      </c>
      <c r="H366" s="7">
        <f t="shared" si="0"/>
        <v>71632.323529411762</v>
      </c>
      <c r="I366" s="21">
        <f t="shared" si="6"/>
        <v>21</v>
      </c>
    </row>
    <row r="367" spans="1:9" ht="14.25" customHeight="1" x14ac:dyDescent="0.25">
      <c r="A367" s="9">
        <v>43956</v>
      </c>
      <c r="B367" s="10" t="s">
        <v>23</v>
      </c>
      <c r="C367" s="10">
        <v>13941</v>
      </c>
      <c r="D367" s="10">
        <v>1145575.5</v>
      </c>
      <c r="E367" s="7">
        <f>SUMIFS(Лист2!C:C, Лист2!A:A, A367, Лист2!B:B, B367)</f>
        <v>15</v>
      </c>
      <c r="F367" s="7">
        <f>SUMIFS(Лист2!D:D, Лист2!A:A, A367, Лист2!B:B, B367)</f>
        <v>750</v>
      </c>
      <c r="G367" s="7">
        <f>SUMIFS(Лист2!E:E, Лист2!A:A, A367, Лист2!B:B, B367)</f>
        <v>658</v>
      </c>
      <c r="H367" s="7">
        <f t="shared" si="0"/>
        <v>76371.7</v>
      </c>
      <c r="I367" s="21">
        <f t="shared" si="6"/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SUMIFS(Лист2!C:C, Лист2!A:A, A368, Лист2!B:B, B368)</f>
        <v>15</v>
      </c>
      <c r="F368" s="7">
        <f>SUMIFS(Лист2!D:D, Лист2!A:A, A368, Лист2!B:B, B368)</f>
        <v>854</v>
      </c>
      <c r="G368" s="7">
        <f>SUMIFS(Лист2!E:E, Лист2!A:A, A368, Лист2!B:B, B368)</f>
        <v>756</v>
      </c>
      <c r="H368" s="7">
        <f t="shared" si="0"/>
        <v>78179.399999999994</v>
      </c>
      <c r="I368" s="21">
        <f t="shared" si="6"/>
        <v>20</v>
      </c>
    </row>
    <row r="369" spans="1:9" ht="14.25" customHeight="1" x14ac:dyDescent="0.25">
      <c r="A369" s="9">
        <v>43954</v>
      </c>
      <c r="B369" s="10" t="s">
        <v>23</v>
      </c>
      <c r="C369" s="10">
        <v>10032</v>
      </c>
      <c r="D369" s="10">
        <v>816150</v>
      </c>
      <c r="E369" s="7">
        <f>SUMIFS(Лист2!C:C, Лист2!A:A, A369, Лист2!B:B, B369)</f>
        <v>15</v>
      </c>
      <c r="F369" s="7">
        <f>SUMIFS(Лист2!D:D, Лист2!A:A, A369, Лист2!B:B, B369)</f>
        <v>585</v>
      </c>
      <c r="G369" s="7">
        <f>SUMIFS(Лист2!E:E, Лист2!A:A, A369, Лист2!B:B, B369)</f>
        <v>502</v>
      </c>
      <c r="H369" s="7">
        <f t="shared" si="0"/>
        <v>54410</v>
      </c>
      <c r="I369" s="21">
        <f t="shared" si="6"/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SUMIFS(Лист2!C:C, Лист2!A:A, A370, Лист2!B:B, B370)</f>
        <v>15</v>
      </c>
      <c r="F370" s="7">
        <f>SUMIFS(Лист2!D:D, Лист2!A:A, A370, Лист2!B:B, B370)</f>
        <v>701</v>
      </c>
      <c r="G370" s="7">
        <f>SUMIFS(Лист2!E:E, Лист2!A:A, A370, Лист2!B:B, B370)</f>
        <v>611</v>
      </c>
      <c r="H370" s="7">
        <f t="shared" si="0"/>
        <v>67771.100000000006</v>
      </c>
      <c r="I370" s="21">
        <f t="shared" si="6"/>
        <v>19</v>
      </c>
    </row>
    <row r="371" spans="1:9" ht="14.25" customHeight="1" x14ac:dyDescent="0.25">
      <c r="A371" s="9">
        <v>43974</v>
      </c>
      <c r="B371" s="10" t="s">
        <v>23</v>
      </c>
      <c r="C371" s="10">
        <v>17943</v>
      </c>
      <c r="D371" s="10">
        <v>1457391</v>
      </c>
      <c r="E371" s="7">
        <f>SUMIFS(Лист2!C:C, Лист2!A:A, A371, Лист2!B:B, B371)</f>
        <v>18</v>
      </c>
      <c r="F371" s="7">
        <f>SUMIFS(Лист2!D:D, Лист2!A:A, A371, Лист2!B:B, B371)</f>
        <v>1031</v>
      </c>
      <c r="G371" s="7">
        <f>SUMIFS(Лист2!E:E, Лист2!A:A, A371, Лист2!B:B, B371)</f>
        <v>918</v>
      </c>
      <c r="H371" s="7">
        <f t="shared" si="0"/>
        <v>80966.166666666672</v>
      </c>
      <c r="I371" s="21">
        <f t="shared" si="6"/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SUMIFS(Лист2!C:C, Лист2!A:A, A372, Лист2!B:B, B372)</f>
        <v>18</v>
      </c>
      <c r="F372" s="7">
        <f>SUMIFS(Лист2!D:D, Лист2!A:A, A372, Лист2!B:B, B372)</f>
        <v>989</v>
      </c>
      <c r="G372" s="7">
        <f>SUMIFS(Лист2!E:E, Лист2!A:A, A372, Лист2!B:B, B372)</f>
        <v>887</v>
      </c>
      <c r="H372" s="7">
        <f t="shared" si="0"/>
        <v>73705.833333333328</v>
      </c>
      <c r="I372" s="21">
        <f t="shared" si="6"/>
        <v>22</v>
      </c>
    </row>
    <row r="373" spans="1:9" ht="14.25" customHeight="1" x14ac:dyDescent="0.25">
      <c r="A373" s="9">
        <v>43951</v>
      </c>
      <c r="B373" s="10" t="s">
        <v>23</v>
      </c>
      <c r="C373" s="10">
        <v>11976</v>
      </c>
      <c r="D373" s="10">
        <v>1004511</v>
      </c>
      <c r="E373" s="7">
        <f>SUMIFS(Лист2!C:C, Лист2!A:A, A373, Лист2!B:B, B373)</f>
        <v>15</v>
      </c>
      <c r="F373" s="7">
        <f>SUMIFS(Лист2!D:D, Лист2!A:A, A373, Лист2!B:B, B373)</f>
        <v>644</v>
      </c>
      <c r="G373" s="7">
        <f>SUMIFS(Лист2!E:E, Лист2!A:A, A373, Лист2!B:B, B373)</f>
        <v>550</v>
      </c>
      <c r="H373" s="7">
        <f t="shared" si="0"/>
        <v>66967.399999999994</v>
      </c>
      <c r="I373" s="21">
        <f t="shared" si="6"/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SUMIFS(Лист2!C:C, Лист2!A:A, A374, Лист2!B:B, B374)</f>
        <v>15</v>
      </c>
      <c r="F374" s="7">
        <f>SUMIFS(Лист2!D:D, Лист2!A:A, A374, Лист2!B:B, B374)</f>
        <v>792</v>
      </c>
      <c r="G374" s="7">
        <f>SUMIFS(Лист2!E:E, Лист2!A:A, A374, Лист2!B:B, B374)</f>
        <v>695</v>
      </c>
      <c r="H374" s="7">
        <f t="shared" si="0"/>
        <v>81103.8</v>
      </c>
      <c r="I374" s="21">
        <f t="shared" si="6"/>
        <v>19</v>
      </c>
    </row>
    <row r="375" spans="1:9" ht="14.25" customHeight="1" x14ac:dyDescent="0.25">
      <c r="A375" s="9">
        <v>43959</v>
      </c>
      <c r="B375" s="10" t="s">
        <v>23</v>
      </c>
      <c r="C375" s="10">
        <v>12976.5</v>
      </c>
      <c r="D375" s="10">
        <v>1046848.5</v>
      </c>
      <c r="E375" s="7">
        <f>SUMIFS(Лист2!C:C, Лист2!A:A, A375, Лист2!B:B, B375)</f>
        <v>15</v>
      </c>
      <c r="F375" s="7">
        <f>SUMIFS(Лист2!D:D, Лист2!A:A, A375, Лист2!B:B, B375)</f>
        <v>703</v>
      </c>
      <c r="G375" s="7">
        <f>SUMIFS(Лист2!E:E, Лист2!A:A, A375, Лист2!B:B, B375)</f>
        <v>609</v>
      </c>
      <c r="H375" s="7">
        <f t="shared" si="0"/>
        <v>69789.899999999994</v>
      </c>
      <c r="I375" s="21">
        <f t="shared" si="6"/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SUMIFS(Лист2!C:C, Лист2!A:A, A376, Лист2!B:B, B376)</f>
        <v>15</v>
      </c>
      <c r="F376" s="7">
        <f>SUMIFS(Лист2!D:D, Лист2!A:A, A376, Лист2!B:B, B376)</f>
        <v>676</v>
      </c>
      <c r="G376" s="7">
        <f>SUMIFS(Лист2!E:E, Лист2!A:A, A376, Лист2!B:B, B376)</f>
        <v>591</v>
      </c>
      <c r="H376" s="7">
        <f t="shared" si="0"/>
        <v>64392</v>
      </c>
      <c r="I376" s="21">
        <f t="shared" si="6"/>
        <v>19</v>
      </c>
    </row>
    <row r="377" spans="1:9" ht="14.25" customHeight="1" x14ac:dyDescent="0.25">
      <c r="A377" s="9">
        <v>43975</v>
      </c>
      <c r="B377" s="10" t="s">
        <v>23</v>
      </c>
      <c r="C377" s="10">
        <v>17197.5</v>
      </c>
      <c r="D377" s="10">
        <v>1386262.5</v>
      </c>
      <c r="E377" s="7">
        <f>SUMIFS(Лист2!C:C, Лист2!A:A, A377, Лист2!B:B, B377)</f>
        <v>18</v>
      </c>
      <c r="F377" s="7">
        <f>SUMIFS(Лист2!D:D, Лист2!A:A, A377, Лист2!B:B, B377)</f>
        <v>1006</v>
      </c>
      <c r="G377" s="7">
        <f>SUMIFS(Лист2!E:E, Лист2!A:A, A377, Лист2!B:B, B377)</f>
        <v>904</v>
      </c>
      <c r="H377" s="7">
        <f t="shared" si="0"/>
        <v>77014.583333333328</v>
      </c>
      <c r="I377" s="21">
        <f t="shared" si="6"/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SUMIFS(Лист2!C:C, Лист2!A:A, A378, Лист2!B:B, B378)</f>
        <v>18</v>
      </c>
      <c r="F378" s="7">
        <f>SUMIFS(Лист2!D:D, Лист2!A:A, A378, Лист2!B:B, B378)</f>
        <v>914</v>
      </c>
      <c r="G378" s="7">
        <f>SUMIFS(Лист2!E:E, Лист2!A:A, A378, Лист2!B:B, B378)</f>
        <v>804</v>
      </c>
      <c r="H378" s="7">
        <f t="shared" si="0"/>
        <v>67247.583333333328</v>
      </c>
      <c r="I378" s="21">
        <f t="shared" si="6"/>
        <v>22</v>
      </c>
    </row>
    <row r="379" spans="1:9" ht="14.25" customHeight="1" x14ac:dyDescent="0.25">
      <c r="A379" s="9">
        <v>43983</v>
      </c>
      <c r="B379" s="10" t="s">
        <v>9</v>
      </c>
      <c r="C379" s="10">
        <v>7816.5</v>
      </c>
      <c r="D379" s="10">
        <v>636345</v>
      </c>
      <c r="E379" s="7">
        <f>SUMIFS(Лист2!C:C, Лист2!A:A, A379, Лист2!B:B, B379)</f>
        <v>15</v>
      </c>
      <c r="F379" s="7">
        <f>SUMIFS(Лист2!D:D, Лист2!A:A, A379, Лист2!B:B, B379)</f>
        <v>453</v>
      </c>
      <c r="G379" s="7">
        <f>SUMIFS(Лист2!E:E, Лист2!A:A, A379, Лист2!B:B, B379)</f>
        <v>370</v>
      </c>
      <c r="H379" s="7">
        <f t="shared" si="0"/>
        <v>42423</v>
      </c>
      <c r="I379" s="21">
        <f t="shared" si="6"/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SUMIFS(Лист2!C:C, Лист2!A:A, A380, Лист2!B:B, B380)</f>
        <v>9</v>
      </c>
      <c r="F380" s="7">
        <f>SUMIFS(Лист2!D:D, Лист2!A:A, A380, Лист2!B:B, B380)</f>
        <v>345</v>
      </c>
      <c r="G380" s="7">
        <f>SUMIFS(Лист2!E:E, Лист2!A:A, A380, Лист2!B:B, B380)</f>
        <v>255</v>
      </c>
      <c r="H380" s="7">
        <f t="shared" si="0"/>
        <v>54877</v>
      </c>
      <c r="I380" s="21">
        <f t="shared" si="6"/>
        <v>22</v>
      </c>
    </row>
    <row r="381" spans="1:9" ht="14.25" customHeight="1" x14ac:dyDescent="0.25">
      <c r="A381" s="9">
        <v>43981</v>
      </c>
      <c r="B381" s="10" t="s">
        <v>24</v>
      </c>
      <c r="C381" s="10">
        <v>11220</v>
      </c>
      <c r="D381" s="10">
        <v>928675.5</v>
      </c>
      <c r="E381" s="7">
        <f>SUMIFS(Лист2!C:C, Лист2!A:A, A381, Лист2!B:B, B381)</f>
        <v>7</v>
      </c>
      <c r="F381" s="7">
        <f>SUMIFS(Лист2!D:D, Лист2!A:A, A381, Лист2!B:B, B381)</f>
        <v>532</v>
      </c>
      <c r="G381" s="7">
        <f>SUMIFS(Лист2!E:E, Лист2!A:A, A381, Лист2!B:B, B381)</f>
        <v>449</v>
      </c>
      <c r="H381" s="7">
        <f t="shared" si="0"/>
        <v>132667.92857142858</v>
      </c>
      <c r="I381" s="21">
        <f t="shared" si="6"/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SUMIFS(Лист2!C:C, Лист2!A:A, A382, Лист2!B:B, B382)</f>
        <v>15</v>
      </c>
      <c r="F382" s="7">
        <f>SUMIFS(Лист2!D:D, Лист2!A:A, A382, Лист2!B:B, B382)</f>
        <v>400</v>
      </c>
      <c r="G382" s="7">
        <f>SUMIFS(Лист2!E:E, Лист2!A:A, A382, Лист2!B:B, B382)</f>
        <v>329</v>
      </c>
      <c r="H382" s="7">
        <f t="shared" si="0"/>
        <v>43415.8</v>
      </c>
      <c r="I382" s="21">
        <f t="shared" si="6"/>
        <v>22</v>
      </c>
    </row>
    <row r="383" spans="1:9" ht="14.25" customHeight="1" x14ac:dyDescent="0.25">
      <c r="A383" s="9">
        <v>43979</v>
      </c>
      <c r="B383" s="10" t="s">
        <v>24</v>
      </c>
      <c r="C383" s="10">
        <v>8428.5</v>
      </c>
      <c r="D383" s="10">
        <v>694669.5</v>
      </c>
      <c r="E383" s="7">
        <f>SUMIFS(Лист2!C:C, Лист2!A:A, A383, Лист2!B:B, B383)</f>
        <v>7</v>
      </c>
      <c r="F383" s="7">
        <f>SUMIFS(Лист2!D:D, Лист2!A:A, A383, Лист2!B:B, B383)</f>
        <v>420</v>
      </c>
      <c r="G383" s="7">
        <f>SUMIFS(Лист2!E:E, Лист2!A:A, A383, Лист2!B:B, B383)</f>
        <v>347</v>
      </c>
      <c r="H383" s="7">
        <f t="shared" si="0"/>
        <v>99238.5</v>
      </c>
      <c r="I383" s="21">
        <f t="shared" si="6"/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SUMIFS(Лист2!C:C, Лист2!A:A, A384, Лист2!B:B, B384)</f>
        <v>20</v>
      </c>
      <c r="F384" s="7">
        <f>SUMIFS(Лист2!D:D, Лист2!A:A, A384, Лист2!B:B, B384)</f>
        <v>2079</v>
      </c>
      <c r="G384" s="7">
        <f>SUMIFS(Лист2!E:E, Лист2!A:A, A384, Лист2!B:B, B384)</f>
        <v>1893</v>
      </c>
      <c r="H384" s="7">
        <f t="shared" si="0"/>
        <v>150787.57500000001</v>
      </c>
      <c r="I384" s="21">
        <f t="shared" si="6"/>
        <v>22</v>
      </c>
    </row>
    <row r="385" spans="1:9" ht="14.25" customHeight="1" x14ac:dyDescent="0.25">
      <c r="A385" s="9">
        <v>43973</v>
      </c>
      <c r="B385" s="10" t="s">
        <v>10</v>
      </c>
      <c r="C385" s="10">
        <v>36031.5</v>
      </c>
      <c r="D385" s="10">
        <v>3091069.5</v>
      </c>
      <c r="E385" s="7">
        <f>SUMIFS(Лист2!C:C, Лист2!A:A, A385, Лист2!B:B, B385)</f>
        <v>21</v>
      </c>
      <c r="F385" s="7">
        <f>SUMIFS(Лист2!D:D, Лист2!A:A, A385, Лист2!B:B, B385)</f>
        <v>2046</v>
      </c>
      <c r="G385" s="7">
        <f>SUMIFS(Лист2!E:E, Лист2!A:A, A385, Лист2!B:B, B385)</f>
        <v>1853</v>
      </c>
      <c r="H385" s="7">
        <f t="shared" si="0"/>
        <v>147193.78571428571</v>
      </c>
      <c r="I385" s="21">
        <f t="shared" si="6"/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SUMIFS(Лист2!C:C, Лист2!A:A, A386, Лист2!B:B, B386)</f>
        <v>6</v>
      </c>
      <c r="F386" s="7">
        <f>SUMIFS(Лист2!D:D, Лист2!A:A, A386, Лист2!B:B, B386)</f>
        <v>261</v>
      </c>
      <c r="G386" s="7">
        <f>SUMIFS(Лист2!E:E, Лист2!A:A, A386, Лист2!B:B, B386)</f>
        <v>188</v>
      </c>
      <c r="H386" s="7">
        <f t="shared" si="0"/>
        <v>78139.25</v>
      </c>
      <c r="I386" s="21">
        <f t="shared" si="6"/>
        <v>22</v>
      </c>
    </row>
    <row r="387" spans="1:9" ht="14.25" customHeight="1" x14ac:dyDescent="0.25">
      <c r="A387" s="9">
        <v>43962</v>
      </c>
      <c r="B387" s="10" t="s">
        <v>10</v>
      </c>
      <c r="C387" s="10">
        <v>27187.5</v>
      </c>
      <c r="D387" s="10">
        <v>2479396.5</v>
      </c>
      <c r="E387" s="7">
        <f>SUMIFS(Лист2!C:C, Лист2!A:A, A387, Лист2!B:B, B387)</f>
        <v>21</v>
      </c>
      <c r="F387" s="7">
        <f>SUMIFS(Лист2!D:D, Лист2!A:A, A387, Лист2!B:B, B387)</f>
        <v>1597</v>
      </c>
      <c r="G387" s="7">
        <f>SUMIFS(Лист2!E:E, Лист2!A:A, A387, Лист2!B:B, B387)</f>
        <v>1457</v>
      </c>
      <c r="H387" s="7">
        <f t="shared" si="0"/>
        <v>118066.5</v>
      </c>
      <c r="I387" s="21">
        <f t="shared" ref="I387:I450" si="7">_xlfn.ISOWEEKNUM(A387)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SUMIFS(Лист2!C:C, Лист2!A:A, A388, Лист2!B:B, B388)</f>
        <v>18</v>
      </c>
      <c r="F388" s="7">
        <f>SUMIFS(Лист2!D:D, Лист2!A:A, A388, Лист2!B:B, B388)</f>
        <v>1216</v>
      </c>
      <c r="G388" s="7">
        <f>SUMIFS(Лист2!E:E, Лист2!A:A, A388, Лист2!B:B, B388)</f>
        <v>1101</v>
      </c>
      <c r="H388" s="7">
        <f t="shared" si="0"/>
        <v>98508.583333333328</v>
      </c>
      <c r="I388" s="21">
        <f t="shared" si="7"/>
        <v>22</v>
      </c>
    </row>
    <row r="389" spans="1:9" ht="14.25" customHeight="1" x14ac:dyDescent="0.25">
      <c r="A389" s="9">
        <v>43979</v>
      </c>
      <c r="B389" s="10" t="s">
        <v>23</v>
      </c>
      <c r="C389" s="10">
        <v>15678</v>
      </c>
      <c r="D389" s="10">
        <v>1387443</v>
      </c>
      <c r="E389" s="7">
        <f>SUMIFS(Лист2!C:C, Лист2!A:A, A389, Лист2!B:B, B389)</f>
        <v>18</v>
      </c>
      <c r="F389" s="7">
        <f>SUMIFS(Лист2!D:D, Лист2!A:A, A389, Лист2!B:B, B389)</f>
        <v>1020</v>
      </c>
      <c r="G389" s="7">
        <f>SUMIFS(Лист2!E:E, Лист2!A:A, A389, Лист2!B:B, B389)</f>
        <v>911</v>
      </c>
      <c r="H389" s="7">
        <f t="shared" si="0"/>
        <v>77080.166666666672</v>
      </c>
      <c r="I389" s="21">
        <f t="shared" si="7"/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SUMIFS(Лист2!C:C, Лист2!A:A, A390, Лист2!B:B, B390)</f>
        <v>21</v>
      </c>
      <c r="F390" s="7">
        <f>SUMIFS(Лист2!D:D, Лист2!A:A, A390, Лист2!B:B, B390)</f>
        <v>1834</v>
      </c>
      <c r="G390" s="7">
        <f>SUMIFS(Лист2!E:E, Лист2!A:A, A390, Лист2!B:B, B390)</f>
        <v>1660</v>
      </c>
      <c r="H390" s="7">
        <f t="shared" si="0"/>
        <v>134589.5</v>
      </c>
      <c r="I390" s="21">
        <f t="shared" si="7"/>
        <v>21</v>
      </c>
    </row>
    <row r="391" spans="1:9" ht="14.25" customHeight="1" x14ac:dyDescent="0.25">
      <c r="A391" s="9">
        <v>43965</v>
      </c>
      <c r="B391" s="10" t="s">
        <v>10</v>
      </c>
      <c r="C391" s="10">
        <v>29658</v>
      </c>
      <c r="D391" s="10">
        <v>2703132</v>
      </c>
      <c r="E391" s="7">
        <f>SUMIFS(Лист2!C:C, Лист2!A:A, A391, Лист2!B:B, B391)</f>
        <v>21</v>
      </c>
      <c r="F391" s="7">
        <f>SUMIFS(Лист2!D:D, Лист2!A:A, A391, Лист2!B:B, B391)</f>
        <v>1706</v>
      </c>
      <c r="G391" s="7">
        <f>SUMIFS(Лист2!E:E, Лист2!A:A, A391, Лист2!B:B, B391)</f>
        <v>1548</v>
      </c>
      <c r="H391" s="7">
        <f t="shared" si="0"/>
        <v>128720.57142857143</v>
      </c>
      <c r="I391" s="21">
        <f t="shared" si="7"/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SUMIFS(Лист2!C:C, Лист2!A:A, A392, Лист2!B:B, B392)</f>
        <v>21</v>
      </c>
      <c r="F392" s="7">
        <f>SUMIFS(Лист2!D:D, Лист2!A:A, A392, Лист2!B:B, B392)</f>
        <v>1926</v>
      </c>
      <c r="G392" s="7">
        <f>SUMIFS(Лист2!E:E, Лист2!A:A, A392, Лист2!B:B, B392)</f>
        <v>1742</v>
      </c>
      <c r="H392" s="7">
        <f t="shared" si="0"/>
        <v>144680.64285714287</v>
      </c>
      <c r="I392" s="21">
        <f t="shared" si="7"/>
        <v>20</v>
      </c>
    </row>
    <row r="393" spans="1:9" ht="14.25" customHeight="1" x14ac:dyDescent="0.25">
      <c r="A393" s="9">
        <v>43983</v>
      </c>
      <c r="B393" s="10" t="s">
        <v>10</v>
      </c>
      <c r="C393" s="10">
        <v>31947</v>
      </c>
      <c r="D393" s="10">
        <v>2945035.5</v>
      </c>
      <c r="E393" s="7">
        <f>SUMIFS(Лист2!C:C, Лист2!A:A, A393, Лист2!B:B, B393)</f>
        <v>21</v>
      </c>
      <c r="F393" s="7">
        <f>SUMIFS(Лист2!D:D, Лист2!A:A, A393, Лист2!B:B, B393)</f>
        <v>2025</v>
      </c>
      <c r="G393" s="7">
        <f>SUMIFS(Лист2!E:E, Лист2!A:A, A393, Лист2!B:B, B393)</f>
        <v>1849</v>
      </c>
      <c r="H393" s="7">
        <f t="shared" si="0"/>
        <v>140239.78571428571</v>
      </c>
      <c r="I393" s="21">
        <f t="shared" si="7"/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SUMIFS(Лист2!C:C, Лист2!A:A, A394, Лист2!B:B, B394)</f>
        <v>7</v>
      </c>
      <c r="F394" s="7">
        <f>SUMIFS(Лист2!D:D, Лист2!A:A, A394, Лист2!B:B, B394)</f>
        <v>530</v>
      </c>
      <c r="G394" s="7">
        <f>SUMIFS(Лист2!E:E, Лист2!A:A, A394, Лист2!B:B, B394)</f>
        <v>447</v>
      </c>
      <c r="H394" s="7">
        <f t="shared" si="0"/>
        <v>123717.64285714286</v>
      </c>
      <c r="I394" s="21">
        <f t="shared" si="7"/>
        <v>22</v>
      </c>
    </row>
    <row r="395" spans="1:9" ht="14.25" customHeight="1" x14ac:dyDescent="0.25">
      <c r="A395" s="9">
        <v>43980</v>
      </c>
      <c r="B395" s="10" t="s">
        <v>10</v>
      </c>
      <c r="C395" s="10">
        <v>35431.5</v>
      </c>
      <c r="D395" s="10">
        <v>3193167</v>
      </c>
      <c r="E395" s="7">
        <f>SUMIFS(Лист2!C:C, Лист2!A:A, A395, Лист2!B:B, B395)</f>
        <v>20</v>
      </c>
      <c r="F395" s="7">
        <f>SUMIFS(Лист2!D:D, Лист2!A:A, A395, Лист2!B:B, B395)</f>
        <v>2111</v>
      </c>
      <c r="G395" s="7">
        <f>SUMIFS(Лист2!E:E, Лист2!A:A, A395, Лист2!B:B, B395)</f>
        <v>1917</v>
      </c>
      <c r="H395" s="7">
        <f t="shared" si="0"/>
        <v>159658.35</v>
      </c>
      <c r="I395" s="21">
        <f t="shared" si="7"/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SUMIFS(Лист2!C:C, Лист2!A:A, A396, Лист2!B:B, B396)</f>
        <v>31</v>
      </c>
      <c r="F396" s="7">
        <f>SUMIFS(Лист2!D:D, Лист2!A:A, A396, Лист2!B:B, B396)</f>
        <v>5330</v>
      </c>
      <c r="G396" s="7">
        <f>SUMIFS(Лист2!E:E, Лист2!A:A, A396, Лист2!B:B, B396)</f>
        <v>4977</v>
      </c>
      <c r="H396" s="7">
        <f t="shared" si="0"/>
        <v>216163.98387096773</v>
      </c>
      <c r="I396" s="21">
        <f t="shared" si="7"/>
        <v>22</v>
      </c>
    </row>
    <row r="397" spans="1:9" ht="14.25" customHeight="1" x14ac:dyDescent="0.25">
      <c r="A397" s="9">
        <v>43973</v>
      </c>
      <c r="B397" s="10" t="s">
        <v>11</v>
      </c>
      <c r="C397" s="10">
        <v>97963.5</v>
      </c>
      <c r="D397" s="10">
        <v>7728465</v>
      </c>
      <c r="E397" s="7">
        <f>SUMIFS(Лист2!C:C, Лист2!A:A, A397, Лист2!B:B, B397)</f>
        <v>31</v>
      </c>
      <c r="F397" s="7">
        <f>SUMIFS(Лист2!D:D, Лист2!A:A, A397, Лист2!B:B, B397)</f>
        <v>5965</v>
      </c>
      <c r="G397" s="7">
        <f>SUMIFS(Лист2!E:E, Лист2!A:A, A397, Лист2!B:B, B397)</f>
        <v>5533</v>
      </c>
      <c r="H397" s="7">
        <f t="shared" si="0"/>
        <v>249305.32258064515</v>
      </c>
      <c r="I397" s="21">
        <f t="shared" si="7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SUMIFS(Лист2!C:C, Лист2!A:A, A398, Лист2!B:B, B398)</f>
        <v>31</v>
      </c>
      <c r="F398" s="7">
        <f>SUMIFS(Лист2!D:D, Лист2!A:A, A398, Лист2!B:B, B398)</f>
        <v>5468</v>
      </c>
      <c r="G398" s="7">
        <f>SUMIFS(Лист2!E:E, Лист2!A:A, A398, Лист2!B:B, B398)</f>
        <v>5081</v>
      </c>
      <c r="H398" s="7">
        <f t="shared" si="0"/>
        <v>220320.04838709679</v>
      </c>
      <c r="I398" s="21">
        <f t="shared" si="7"/>
        <v>23</v>
      </c>
    </row>
    <row r="399" spans="1:9" ht="14.25" customHeight="1" x14ac:dyDescent="0.25">
      <c r="A399" s="9">
        <v>43982</v>
      </c>
      <c r="B399" s="10" t="s">
        <v>23</v>
      </c>
      <c r="C399" s="10">
        <v>16143</v>
      </c>
      <c r="D399" s="10">
        <v>1423410</v>
      </c>
      <c r="E399" s="7">
        <f>SUMIFS(Лист2!C:C, Лист2!A:A, A399, Лист2!B:B, B399)</f>
        <v>18</v>
      </c>
      <c r="F399" s="7">
        <f>SUMIFS(Лист2!D:D, Лист2!A:A, A399, Лист2!B:B, B399)</f>
        <v>1029</v>
      </c>
      <c r="G399" s="7">
        <f>SUMIFS(Лист2!E:E, Лист2!A:A, A399, Лист2!B:B, B399)</f>
        <v>925</v>
      </c>
      <c r="H399" s="7">
        <f t="shared" si="0"/>
        <v>79078.333333333328</v>
      </c>
      <c r="I399" s="21">
        <f t="shared" si="7"/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SUMIFS(Лист2!C:C, Лист2!A:A, A400, Лист2!B:B, B400)</f>
        <v>31</v>
      </c>
      <c r="F400" s="7">
        <f>SUMIFS(Лист2!D:D, Лист2!A:A, A400, Лист2!B:B, B400)</f>
        <v>4826</v>
      </c>
      <c r="G400" s="7">
        <f>SUMIFS(Лист2!E:E, Лист2!A:A, A400, Лист2!B:B, B400)</f>
        <v>4483</v>
      </c>
      <c r="H400" s="7">
        <f t="shared" si="0"/>
        <v>206410.30645161291</v>
      </c>
      <c r="I400" s="21">
        <f t="shared" si="7"/>
        <v>20</v>
      </c>
    </row>
    <row r="401" spans="1:9" ht="14.25" customHeight="1" x14ac:dyDescent="0.25">
      <c r="A401" s="9">
        <v>43969</v>
      </c>
      <c r="B401" s="10" t="s">
        <v>11</v>
      </c>
      <c r="C401" s="10">
        <v>78058.5</v>
      </c>
      <c r="D401" s="10">
        <v>6609714</v>
      </c>
      <c r="E401" s="7">
        <f>SUMIFS(Лист2!C:C, Лист2!A:A, A401, Лист2!B:B, B401)</f>
        <v>31</v>
      </c>
      <c r="F401" s="7">
        <f>SUMIFS(Лист2!D:D, Лист2!A:A, A401, Лист2!B:B, B401)</f>
        <v>5165</v>
      </c>
      <c r="G401" s="7">
        <f>SUMIFS(Лист2!E:E, Лист2!A:A, A401, Лист2!B:B, B401)</f>
        <v>4813</v>
      </c>
      <c r="H401" s="7">
        <f t="shared" si="0"/>
        <v>213216.5806451613</v>
      </c>
      <c r="I401" s="21">
        <f t="shared" si="7"/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SUMIFS(Лист2!C:C, Лист2!A:A, A402, Лист2!B:B, B402)</f>
        <v>31</v>
      </c>
      <c r="F402" s="7">
        <f>SUMIFS(Лист2!D:D, Лист2!A:A, A402, Лист2!B:B, B402)</f>
        <v>4695</v>
      </c>
      <c r="G402" s="7">
        <f>SUMIFS(Лист2!E:E, Лист2!A:A, A402, Лист2!B:B, B402)</f>
        <v>4372</v>
      </c>
      <c r="H402" s="7">
        <f t="shared" si="0"/>
        <v>195279</v>
      </c>
      <c r="I402" s="21">
        <f t="shared" si="7"/>
        <v>20</v>
      </c>
    </row>
    <row r="403" spans="1:9" ht="14.25" customHeight="1" x14ac:dyDescent="0.25">
      <c r="A403" s="9">
        <v>43966</v>
      </c>
      <c r="B403" s="10" t="s">
        <v>11</v>
      </c>
      <c r="C403" s="10">
        <v>78961.5</v>
      </c>
      <c r="D403" s="10">
        <v>6876454.5</v>
      </c>
      <c r="E403" s="7">
        <f>SUMIFS(Лист2!C:C, Лист2!A:A, A403, Лист2!B:B, B403)</f>
        <v>31</v>
      </c>
      <c r="F403" s="7">
        <f>SUMIFS(Лист2!D:D, Лист2!A:A, A403, Лист2!B:B, B403)</f>
        <v>5184</v>
      </c>
      <c r="G403" s="7">
        <f>SUMIFS(Лист2!E:E, Лист2!A:A, A403, Лист2!B:B, B403)</f>
        <v>4778</v>
      </c>
      <c r="H403" s="7">
        <f t="shared" si="0"/>
        <v>221821.11290322582</v>
      </c>
      <c r="I403" s="21">
        <f t="shared" si="7"/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SUMIFS(Лист2!C:C, Лист2!A:A, A404, Лист2!B:B, B404)</f>
        <v>10</v>
      </c>
      <c r="F404" s="7">
        <f>SUMIFS(Лист2!D:D, Лист2!A:A, A404, Лист2!B:B, B404)</f>
        <v>757</v>
      </c>
      <c r="G404" s="7">
        <f>SUMIFS(Лист2!E:E, Лист2!A:A, A404, Лист2!B:B, B404)</f>
        <v>660</v>
      </c>
      <c r="H404" s="7">
        <f t="shared" si="0"/>
        <v>105479.85</v>
      </c>
      <c r="I404" s="21">
        <f t="shared" si="7"/>
        <v>22</v>
      </c>
    </row>
    <row r="405" spans="1:9" ht="14.25" customHeight="1" x14ac:dyDescent="0.25">
      <c r="A405" s="9">
        <v>43973</v>
      </c>
      <c r="B405" s="10" t="s">
        <v>12</v>
      </c>
      <c r="C405" s="10">
        <v>18036</v>
      </c>
      <c r="D405" s="10">
        <v>1455049.5</v>
      </c>
      <c r="E405" s="7">
        <f>SUMIFS(Лист2!C:C, Лист2!A:A, A405, Лист2!B:B, B405)</f>
        <v>10</v>
      </c>
      <c r="F405" s="7">
        <f>SUMIFS(Лист2!D:D, Лист2!A:A, A405, Лист2!B:B, B405)</f>
        <v>965</v>
      </c>
      <c r="G405" s="7">
        <f>SUMIFS(Лист2!E:E, Лист2!A:A, A405, Лист2!B:B, B405)</f>
        <v>861</v>
      </c>
      <c r="H405" s="7">
        <f t="shared" si="0"/>
        <v>145504.95000000001</v>
      </c>
      <c r="I405" s="21">
        <f t="shared" si="7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SUMIFS(Лист2!C:C, Лист2!A:A, A406, Лист2!B:B, B406)</f>
        <v>10</v>
      </c>
      <c r="F406" s="7">
        <f>SUMIFS(Лист2!D:D, Лист2!A:A, A406, Лист2!B:B, B406)</f>
        <v>719</v>
      </c>
      <c r="G406" s="7">
        <f>SUMIFS(Лист2!E:E, Лист2!A:A, A406, Лист2!B:B, B406)</f>
        <v>627</v>
      </c>
      <c r="H406" s="7">
        <f t="shared" si="0"/>
        <v>100774.2</v>
      </c>
      <c r="I406" s="21">
        <f t="shared" si="7"/>
        <v>23</v>
      </c>
    </row>
    <row r="407" spans="1:9" ht="14.25" customHeight="1" x14ac:dyDescent="0.25">
      <c r="A407" s="9">
        <v>43962</v>
      </c>
      <c r="B407" s="10" t="s">
        <v>12</v>
      </c>
      <c r="C407" s="10">
        <v>9007.5</v>
      </c>
      <c r="D407" s="10">
        <v>734335.5</v>
      </c>
      <c r="E407" s="7">
        <f>SUMIFS(Лист2!C:C, Лист2!A:A, A407, Лист2!B:B, B407)</f>
        <v>10</v>
      </c>
      <c r="F407" s="7">
        <f>SUMIFS(Лист2!D:D, Лист2!A:A, A407, Лист2!B:B, B407)</f>
        <v>494</v>
      </c>
      <c r="G407" s="7">
        <f>SUMIFS(Лист2!E:E, Лист2!A:A, A407, Лист2!B:B, B407)</f>
        <v>421</v>
      </c>
      <c r="H407" s="7">
        <f t="shared" si="0"/>
        <v>73433.55</v>
      </c>
      <c r="I407" s="21">
        <f t="shared" si="7"/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SUMIFS(Лист2!C:C, Лист2!A:A, A408, Лист2!B:B, B408)</f>
        <v>31</v>
      </c>
      <c r="F408" s="7">
        <f>SUMIFS(Лист2!D:D, Лист2!A:A, A408, Лист2!B:B, B408)</f>
        <v>5751</v>
      </c>
      <c r="G408" s="7">
        <f>SUMIFS(Лист2!E:E, Лист2!A:A, A408, Лист2!B:B, B408)</f>
        <v>5319</v>
      </c>
      <c r="H408" s="7">
        <f t="shared" si="0"/>
        <v>238294.06451612903</v>
      </c>
      <c r="I408" s="21">
        <f t="shared" si="7"/>
        <v>22</v>
      </c>
    </row>
    <row r="409" spans="1:9" ht="14.25" customHeight="1" x14ac:dyDescent="0.25">
      <c r="A409" s="9">
        <v>43969</v>
      </c>
      <c r="B409" s="10" t="s">
        <v>12</v>
      </c>
      <c r="C409" s="10">
        <v>11680.5</v>
      </c>
      <c r="D409" s="10">
        <v>936427.5</v>
      </c>
      <c r="E409" s="7">
        <f>SUMIFS(Лист2!C:C, Лист2!A:A, A409, Лист2!B:B, B409)</f>
        <v>10</v>
      </c>
      <c r="F409" s="7">
        <f>SUMIFS(Лист2!D:D, Лист2!A:A, A409, Лист2!B:B, B409)</f>
        <v>645</v>
      </c>
      <c r="G409" s="7">
        <f>SUMIFS(Лист2!E:E, Лист2!A:A, A409, Лист2!B:B, B409)</f>
        <v>565</v>
      </c>
      <c r="H409" s="7">
        <f t="shared" si="0"/>
        <v>93642.75</v>
      </c>
      <c r="I409" s="21">
        <f t="shared" si="7"/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SUMIFS(Лист2!C:C, Лист2!A:A, A410, Лист2!B:B, B410)</f>
        <v>10</v>
      </c>
      <c r="F410" s="7">
        <f>SUMIFS(Лист2!D:D, Лист2!A:A, A410, Лист2!B:B, B410)</f>
        <v>627</v>
      </c>
      <c r="G410" s="7">
        <f>SUMIFS(Лист2!E:E, Лист2!A:A, A410, Лист2!B:B, B410)</f>
        <v>545</v>
      </c>
      <c r="H410" s="7">
        <f t="shared" si="0"/>
        <v>98156.4</v>
      </c>
      <c r="I410" s="21">
        <f t="shared" si="7"/>
        <v>20</v>
      </c>
    </row>
    <row r="411" spans="1:9" ht="14.25" customHeight="1" x14ac:dyDescent="0.25">
      <c r="A411" s="9">
        <v>43966</v>
      </c>
      <c r="B411" s="10" t="s">
        <v>12</v>
      </c>
      <c r="C411" s="10">
        <v>14421</v>
      </c>
      <c r="D411" s="10">
        <v>1150579.5</v>
      </c>
      <c r="E411" s="7">
        <f>SUMIFS(Лист2!C:C, Лист2!A:A, A411, Лист2!B:B, B411)</f>
        <v>10</v>
      </c>
      <c r="F411" s="7">
        <f>SUMIFS(Лист2!D:D, Лист2!A:A, A411, Лист2!B:B, B411)</f>
        <v>743</v>
      </c>
      <c r="G411" s="7">
        <f>SUMIFS(Лист2!E:E, Лист2!A:A, A411, Лист2!B:B, B411)</f>
        <v>652</v>
      </c>
      <c r="H411" s="7">
        <f t="shared" si="0"/>
        <v>115057.95</v>
      </c>
      <c r="I411" s="21">
        <f t="shared" si="7"/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SUMIFS(Лист2!C:C, Лист2!A:A, A412, Лист2!B:B, B412)</f>
        <v>10</v>
      </c>
      <c r="F412" s="7">
        <f>SUMIFS(Лист2!D:D, Лист2!A:A, A412, Лист2!B:B, B412)</f>
        <v>873</v>
      </c>
      <c r="G412" s="7">
        <f>SUMIFS(Лист2!E:E, Лист2!A:A, A412, Лист2!B:B, B412)</f>
        <v>770</v>
      </c>
      <c r="H412" s="7">
        <f t="shared" si="0"/>
        <v>127346.4</v>
      </c>
      <c r="I412" s="21">
        <f t="shared" si="7"/>
        <v>22</v>
      </c>
    </row>
    <row r="413" spans="1:9" ht="14.25" customHeight="1" x14ac:dyDescent="0.25">
      <c r="A413" s="9">
        <v>43978</v>
      </c>
      <c r="B413" s="10" t="s">
        <v>13</v>
      </c>
      <c r="C413" s="10">
        <v>31257</v>
      </c>
      <c r="D413" s="10">
        <v>2924133</v>
      </c>
      <c r="E413" s="7">
        <f>SUMIFS(Лист2!C:C, Лист2!A:A, A413, Лист2!B:B, B413)</f>
        <v>20</v>
      </c>
      <c r="F413" s="7">
        <f>SUMIFS(Лист2!D:D, Лист2!A:A, A413, Лист2!B:B, B413)</f>
        <v>2079</v>
      </c>
      <c r="G413" s="7">
        <f>SUMIFS(Лист2!E:E, Лист2!A:A, A413, Лист2!B:B, B413)</f>
        <v>1856</v>
      </c>
      <c r="H413" s="7">
        <f t="shared" si="0"/>
        <v>146206.65</v>
      </c>
      <c r="I413" s="21">
        <f t="shared" si="7"/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SUMIFS(Лист2!C:C, Лист2!A:A, A414, Лист2!B:B, B414)</f>
        <v>20</v>
      </c>
      <c r="F414" s="7">
        <f>SUMIFS(Лист2!D:D, Лист2!A:A, A414, Лист2!B:B, B414)</f>
        <v>2306</v>
      </c>
      <c r="G414" s="7">
        <f>SUMIFS(Лист2!E:E, Лист2!A:A, A414, Лист2!B:B, B414)</f>
        <v>2054</v>
      </c>
      <c r="H414" s="7">
        <f t="shared" si="0"/>
        <v>170709</v>
      </c>
      <c r="I414" s="21">
        <f t="shared" si="7"/>
        <v>21</v>
      </c>
    </row>
    <row r="415" spans="1:9" ht="14.25" customHeight="1" x14ac:dyDescent="0.25">
      <c r="A415" s="9">
        <v>43983</v>
      </c>
      <c r="B415" s="10" t="s">
        <v>13</v>
      </c>
      <c r="C415" s="10">
        <v>32170.5</v>
      </c>
      <c r="D415" s="10">
        <v>3013512</v>
      </c>
      <c r="E415" s="7">
        <f>SUMIFS(Лист2!C:C, Лист2!A:A, A415, Лист2!B:B, B415)</f>
        <v>20</v>
      </c>
      <c r="F415" s="7">
        <f>SUMIFS(Лист2!D:D, Лист2!A:A, A415, Лист2!B:B, B415)</f>
        <v>2136</v>
      </c>
      <c r="G415" s="7">
        <f>SUMIFS(Лист2!E:E, Лист2!A:A, A415, Лист2!B:B, B415)</f>
        <v>1899</v>
      </c>
      <c r="H415" s="7">
        <f t="shared" si="0"/>
        <v>150675.6</v>
      </c>
      <c r="I415" s="21">
        <f t="shared" si="7"/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SUMIFS(Лист2!C:C, Лист2!A:A, A416, Лист2!B:B, B416)</f>
        <v>19</v>
      </c>
      <c r="F416" s="7">
        <f>SUMIFS(Лист2!D:D, Лист2!A:A, A416, Лист2!B:B, B416)</f>
        <v>2530</v>
      </c>
      <c r="G416" s="7">
        <f>SUMIFS(Лист2!E:E, Лист2!A:A, A416, Лист2!B:B, B416)</f>
        <v>2270</v>
      </c>
      <c r="H416" s="7">
        <f t="shared" si="0"/>
        <v>205893.63157894736</v>
      </c>
      <c r="I416" s="21">
        <f t="shared" si="7"/>
        <v>20</v>
      </c>
    </row>
    <row r="417" spans="1:9" ht="14.25" customHeight="1" x14ac:dyDescent="0.25">
      <c r="A417" s="9">
        <v>43969</v>
      </c>
      <c r="B417" s="10" t="s">
        <v>13</v>
      </c>
      <c r="C417" s="10">
        <v>28668</v>
      </c>
      <c r="D417" s="10">
        <v>2588148</v>
      </c>
      <c r="E417" s="7">
        <f>SUMIFS(Лист2!C:C, Лист2!A:A, A417, Лист2!B:B, B417)</f>
        <v>19</v>
      </c>
      <c r="F417" s="7">
        <f>SUMIFS(Лист2!D:D, Лист2!A:A, A417, Лист2!B:B, B417)</f>
        <v>1858</v>
      </c>
      <c r="G417" s="7">
        <f>SUMIFS(Лист2!E:E, Лист2!A:A, A417, Лист2!B:B, B417)</f>
        <v>1648</v>
      </c>
      <c r="H417" s="7">
        <f t="shared" si="0"/>
        <v>136218.31578947368</v>
      </c>
      <c r="I417" s="21">
        <f t="shared" si="7"/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SUMIFS(Лист2!C:C, Лист2!A:A, A418, Лист2!B:B, B418)</f>
        <v>19</v>
      </c>
      <c r="F418" s="7">
        <f>SUMIFS(Лист2!D:D, Лист2!A:A, A418, Лист2!B:B, B418)</f>
        <v>1675</v>
      </c>
      <c r="G418" s="7">
        <f>SUMIFS(Лист2!E:E, Лист2!A:A, A418, Лист2!B:B, B418)</f>
        <v>1475</v>
      </c>
      <c r="H418" s="7">
        <f t="shared" si="0"/>
        <v>128501.05263157895</v>
      </c>
      <c r="I418" s="21">
        <f t="shared" si="7"/>
        <v>20</v>
      </c>
    </row>
    <row r="419" spans="1:9" ht="14.25" customHeight="1" x14ac:dyDescent="0.25">
      <c r="A419" s="9">
        <v>43966</v>
      </c>
      <c r="B419" s="10" t="s">
        <v>13</v>
      </c>
      <c r="C419" s="10">
        <v>32854.5</v>
      </c>
      <c r="D419" s="10">
        <v>2949078</v>
      </c>
      <c r="E419" s="7">
        <f>SUMIFS(Лист2!C:C, Лист2!A:A, A419, Лист2!B:B, B419)</f>
        <v>19</v>
      </c>
      <c r="F419" s="7">
        <f>SUMIFS(Лист2!D:D, Лист2!A:A, A419, Лист2!B:B, B419)</f>
        <v>1940</v>
      </c>
      <c r="G419" s="7">
        <f>SUMIFS(Лист2!E:E, Лист2!A:A, A419, Лист2!B:B, B419)</f>
        <v>1715</v>
      </c>
      <c r="H419" s="7">
        <f t="shared" si="0"/>
        <v>155214.63157894736</v>
      </c>
      <c r="I419" s="21">
        <f t="shared" si="7"/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SUMIFS(Лист2!C:C, Лист2!A:A, A420, Лист2!B:B, B420)</f>
        <v>20</v>
      </c>
      <c r="F420" s="7">
        <f>SUMIFS(Лист2!D:D, Лист2!A:A, A420, Лист2!B:B, B420)</f>
        <v>2249</v>
      </c>
      <c r="G420" s="7">
        <f>SUMIFS(Лист2!E:E, Лист2!A:A, A420, Лист2!B:B, B420)</f>
        <v>2000</v>
      </c>
      <c r="H420" s="7">
        <f t="shared" si="0"/>
        <v>162902.70000000001</v>
      </c>
      <c r="I420" s="21">
        <f t="shared" si="7"/>
        <v>22</v>
      </c>
    </row>
    <row r="421" spans="1:9" ht="14.25" customHeight="1" x14ac:dyDescent="0.25">
      <c r="A421" s="9">
        <v>43978</v>
      </c>
      <c r="B421" s="10" t="s">
        <v>14</v>
      </c>
      <c r="C421" s="10">
        <v>286558.5</v>
      </c>
      <c r="D421" s="10">
        <v>29256993</v>
      </c>
      <c r="E421" s="7">
        <f>SUMIFS(Лист2!C:C, Лист2!A:A, A421, Лист2!B:B, B421)</f>
        <v>129</v>
      </c>
      <c r="F421" s="7">
        <f>SUMIFS(Лист2!D:D, Лист2!A:A, A421, Лист2!B:B, B421)</f>
        <v>17115</v>
      </c>
      <c r="G421" s="7">
        <f>SUMIFS(Лист2!E:E, Лист2!A:A, A421, Лист2!B:B, B421)</f>
        <v>15962</v>
      </c>
      <c r="H421" s="7">
        <f t="shared" si="0"/>
        <v>226798.39534883722</v>
      </c>
      <c r="I421" s="21">
        <f t="shared" si="7"/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SUMIFS(Лист2!C:C, Лист2!A:A, A422, Лист2!B:B, B422)</f>
        <v>129</v>
      </c>
      <c r="F422" s="7">
        <f>SUMIFS(Лист2!D:D, Лист2!A:A, A422, Лист2!B:B, B422)</f>
        <v>17088</v>
      </c>
      <c r="G422" s="7">
        <f>SUMIFS(Лист2!E:E, Лист2!A:A, A422, Лист2!B:B, B422)</f>
        <v>15804</v>
      </c>
      <c r="H422" s="7">
        <f t="shared" si="0"/>
        <v>228416.81395348837</v>
      </c>
      <c r="I422" s="21">
        <f t="shared" si="7"/>
        <v>21</v>
      </c>
    </row>
    <row r="423" spans="1:9" ht="14.25" customHeight="1" x14ac:dyDescent="0.25">
      <c r="A423" s="9">
        <v>43983</v>
      </c>
      <c r="B423" s="10" t="s">
        <v>14</v>
      </c>
      <c r="C423" s="10">
        <v>272926.5</v>
      </c>
      <c r="D423" s="10">
        <v>27770092.5</v>
      </c>
      <c r="E423" s="7">
        <f>SUMIFS(Лист2!C:C, Лист2!A:A, A423, Лист2!B:B, B423)</f>
        <v>128</v>
      </c>
      <c r="F423" s="7">
        <f>SUMIFS(Лист2!D:D, Лист2!A:A, A423, Лист2!B:B, B423)</f>
        <v>16285</v>
      </c>
      <c r="G423" s="7">
        <f>SUMIFS(Лист2!E:E, Лист2!A:A, A423, Лист2!B:B, B423)</f>
        <v>15130</v>
      </c>
      <c r="H423" s="7">
        <f t="shared" si="0"/>
        <v>216953.84765625</v>
      </c>
      <c r="I423" s="21">
        <f t="shared" si="7"/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SUMIFS(Лист2!C:C, Лист2!A:A, A424, Лист2!B:B, B424)</f>
        <v>129</v>
      </c>
      <c r="F424" s="7">
        <f>SUMIFS(Лист2!D:D, Лист2!A:A, A424, Лист2!B:B, B424)</f>
        <v>14043</v>
      </c>
      <c r="G424" s="7">
        <f>SUMIFS(Лист2!E:E, Лист2!A:A, A424, Лист2!B:B, B424)</f>
        <v>13167</v>
      </c>
      <c r="H424" s="7">
        <f t="shared" si="0"/>
        <v>190916.53661976743</v>
      </c>
      <c r="I424" s="21">
        <f t="shared" si="7"/>
        <v>20</v>
      </c>
    </row>
    <row r="425" spans="1:9" ht="14.25" customHeight="1" x14ac:dyDescent="0.25">
      <c r="A425" s="9">
        <v>43969</v>
      </c>
      <c r="B425" s="10" t="s">
        <v>14</v>
      </c>
      <c r="C425" s="10">
        <v>273900</v>
      </c>
      <c r="D425" s="10">
        <v>27535284.147600003</v>
      </c>
      <c r="E425" s="7">
        <f>SUMIFS(Лист2!C:C, Лист2!A:A, A425, Лист2!B:B, B425)</f>
        <v>129</v>
      </c>
      <c r="F425" s="7">
        <f>SUMIFS(Лист2!D:D, Лист2!A:A, A425, Лист2!B:B, B425)</f>
        <v>16110</v>
      </c>
      <c r="G425" s="7">
        <f>SUMIFS(Лист2!E:E, Лист2!A:A, A425, Лист2!B:B, B425)</f>
        <v>14992</v>
      </c>
      <c r="H425" s="7">
        <f t="shared" si="0"/>
        <v>213451.81509767444</v>
      </c>
      <c r="I425" s="21">
        <f t="shared" si="7"/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SUMIFS(Лист2!C:C, Лист2!A:A, A426, Лист2!B:B, B426)</f>
        <v>129</v>
      </c>
      <c r="F426" s="7">
        <f>SUMIFS(Лист2!D:D, Лист2!A:A, A426, Лист2!B:B, B426)</f>
        <v>15804</v>
      </c>
      <c r="G426" s="7">
        <f>SUMIFS(Лист2!E:E, Лист2!A:A, A426, Лист2!B:B, B426)</f>
        <v>14738</v>
      </c>
      <c r="H426" s="7">
        <f t="shared" si="0"/>
        <v>218459.62790697673</v>
      </c>
      <c r="I426" s="21">
        <f t="shared" si="7"/>
        <v>20</v>
      </c>
    </row>
    <row r="427" spans="1:9" ht="14.25" customHeight="1" x14ac:dyDescent="0.25">
      <c r="A427" s="9">
        <v>43966</v>
      </c>
      <c r="B427" s="10" t="s">
        <v>14</v>
      </c>
      <c r="C427" s="10">
        <v>318816</v>
      </c>
      <c r="D427" s="10">
        <v>32354331</v>
      </c>
      <c r="E427" s="7">
        <f>SUMIFS(Лист2!C:C, Лист2!A:A, A427, Лист2!B:B, B427)</f>
        <v>129</v>
      </c>
      <c r="F427" s="7">
        <f>SUMIFS(Лист2!D:D, Лист2!A:A, A427, Лист2!B:B, B427)</f>
        <v>17808</v>
      </c>
      <c r="G427" s="7">
        <f>SUMIFS(Лист2!E:E, Лист2!A:A, A427, Лист2!B:B, B427)</f>
        <v>16486</v>
      </c>
      <c r="H427" s="7">
        <f t="shared" si="0"/>
        <v>250808.76744186046</v>
      </c>
      <c r="I427" s="21">
        <f t="shared" si="7"/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SUMIFS(Лист2!C:C, Лист2!A:A, A428, Лист2!B:B, B428)</f>
        <v>124</v>
      </c>
      <c r="F428" s="7">
        <f>SUMIFS(Лист2!D:D, Лист2!A:A, A428, Лист2!B:B, B428)</f>
        <v>21384</v>
      </c>
      <c r="G428" s="7">
        <f>SUMIFS(Лист2!E:E, Лист2!A:A, A428, Лист2!B:B, B428)</f>
        <v>19897</v>
      </c>
      <c r="H428" s="7">
        <f t="shared" si="0"/>
        <v>314797.2701612903</v>
      </c>
      <c r="I428" s="21">
        <f t="shared" si="7"/>
        <v>22</v>
      </c>
    </row>
    <row r="429" spans="1:9" ht="14.25" customHeight="1" x14ac:dyDescent="0.25">
      <c r="A429" s="9">
        <v>43973</v>
      </c>
      <c r="B429" s="10" t="s">
        <v>15</v>
      </c>
      <c r="C429" s="10">
        <v>393018</v>
      </c>
      <c r="D429" s="10">
        <v>39498373.5</v>
      </c>
      <c r="E429" s="7">
        <f>SUMIFS(Лист2!C:C, Лист2!A:A, A429, Лист2!B:B, B429)</f>
        <v>125</v>
      </c>
      <c r="F429" s="7">
        <f>SUMIFS(Лист2!D:D, Лист2!A:A, A429, Лист2!B:B, B429)</f>
        <v>21427</v>
      </c>
      <c r="G429" s="7">
        <f>SUMIFS(Лист2!E:E, Лист2!A:A, A429, Лист2!B:B, B429)</f>
        <v>19799</v>
      </c>
      <c r="H429" s="7">
        <f t="shared" si="0"/>
        <v>315986.98800000001</v>
      </c>
      <c r="I429" s="21">
        <f t="shared" si="7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SUMIFS(Лист2!C:C, Лист2!A:A, A430, Лист2!B:B, B430)</f>
        <v>123</v>
      </c>
      <c r="F430" s="7">
        <f>SUMIFS(Лист2!D:D, Лист2!A:A, A430, Лист2!B:B, B430)</f>
        <v>20325</v>
      </c>
      <c r="G430" s="7">
        <f>SUMIFS(Лист2!E:E, Лист2!A:A, A430, Лист2!B:B, B430)</f>
        <v>18935</v>
      </c>
      <c r="H430" s="7">
        <f t="shared" si="0"/>
        <v>302909.26976707316</v>
      </c>
      <c r="I430" s="21">
        <f t="shared" si="7"/>
        <v>23</v>
      </c>
    </row>
    <row r="431" spans="1:9" ht="14.25" customHeight="1" x14ac:dyDescent="0.25">
      <c r="A431" s="9">
        <v>43962</v>
      </c>
      <c r="B431" s="10" t="s">
        <v>15</v>
      </c>
      <c r="C431" s="10">
        <v>318565.5</v>
      </c>
      <c r="D431" s="10">
        <v>33781581</v>
      </c>
      <c r="E431" s="7">
        <f>SUMIFS(Лист2!C:C, Лист2!A:A, A431, Лист2!B:B, B431)</f>
        <v>125</v>
      </c>
      <c r="F431" s="7">
        <f>SUMIFS(Лист2!D:D, Лист2!A:A, A431, Лист2!B:B, B431)</f>
        <v>18066</v>
      </c>
      <c r="G431" s="7">
        <f>SUMIFS(Лист2!E:E, Лист2!A:A, A431, Лист2!B:B, B431)</f>
        <v>16883</v>
      </c>
      <c r="H431" s="7">
        <f t="shared" si="0"/>
        <v>270252.64799999999</v>
      </c>
      <c r="I431" s="21">
        <f t="shared" si="7"/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SUMIFS(Лист2!C:C, Лист2!A:A, A432, Лист2!B:B, B432)</f>
        <v>129</v>
      </c>
      <c r="F432" s="7">
        <f>SUMIFS(Лист2!D:D, Лист2!A:A, A432, Лист2!B:B, B432)</f>
        <v>22403</v>
      </c>
      <c r="G432" s="7">
        <f>SUMIFS(Лист2!E:E, Лист2!A:A, A432, Лист2!B:B, B432)</f>
        <v>20676</v>
      </c>
      <c r="H432" s="7">
        <f t="shared" si="0"/>
        <v>323776.27988372097</v>
      </c>
      <c r="I432" s="21">
        <f t="shared" si="7"/>
        <v>22</v>
      </c>
    </row>
    <row r="433" spans="1:9" ht="14.25" customHeight="1" x14ac:dyDescent="0.25">
      <c r="A433" s="9">
        <v>43969</v>
      </c>
      <c r="B433" s="10" t="s">
        <v>15</v>
      </c>
      <c r="C433" s="10">
        <v>355081.5</v>
      </c>
      <c r="D433" s="10">
        <v>36876888</v>
      </c>
      <c r="E433" s="7">
        <f>SUMIFS(Лист2!C:C, Лист2!A:A, A433, Лист2!B:B, B433)</f>
        <v>125</v>
      </c>
      <c r="F433" s="7">
        <f>SUMIFS(Лист2!D:D, Лист2!A:A, A433, Лист2!B:B, B433)</f>
        <v>20449</v>
      </c>
      <c r="G433" s="7">
        <f>SUMIFS(Лист2!E:E, Лист2!A:A, A433, Лист2!B:B, B433)</f>
        <v>19060</v>
      </c>
      <c r="H433" s="7">
        <f t="shared" si="0"/>
        <v>295015.10399999999</v>
      </c>
      <c r="I433" s="21">
        <f t="shared" si="7"/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SUMIFS(Лист2!C:C, Лист2!A:A, A434, Лист2!B:B, B434)</f>
        <v>125</v>
      </c>
      <c r="F434" s="7">
        <f>SUMIFS(Лист2!D:D, Лист2!A:A, A434, Лист2!B:B, B434)</f>
        <v>20247</v>
      </c>
      <c r="G434" s="7">
        <f>SUMIFS(Лист2!E:E, Лист2!A:A, A434, Лист2!B:B, B434)</f>
        <v>18812</v>
      </c>
      <c r="H434" s="7">
        <f t="shared" si="0"/>
        <v>303705.20400000003</v>
      </c>
      <c r="I434" s="21">
        <f t="shared" si="7"/>
        <v>20</v>
      </c>
    </row>
    <row r="435" spans="1:9" ht="14.25" customHeight="1" x14ac:dyDescent="0.25">
      <c r="A435" s="9">
        <v>43966</v>
      </c>
      <c r="B435" s="10" t="s">
        <v>15</v>
      </c>
      <c r="C435" s="10">
        <v>403261.5</v>
      </c>
      <c r="D435" s="10">
        <v>42271377</v>
      </c>
      <c r="E435" s="7">
        <f>SUMIFS(Лист2!C:C, Лист2!A:A, A435, Лист2!B:B, B435)</f>
        <v>125</v>
      </c>
      <c r="F435" s="7">
        <f>SUMIFS(Лист2!D:D, Лист2!A:A, A435, Лист2!B:B, B435)</f>
        <v>21862</v>
      </c>
      <c r="G435" s="7">
        <f>SUMIFS(Лист2!E:E, Лист2!A:A, A435, Лист2!B:B, B435)</f>
        <v>20235</v>
      </c>
      <c r="H435" s="7">
        <f t="shared" si="0"/>
        <v>338171.016</v>
      </c>
      <c r="I435" s="21">
        <f t="shared" si="7"/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SUMIFS(Лист2!C:C, Лист2!A:A, A436, Лист2!B:B, B436)</f>
        <v>36</v>
      </c>
      <c r="F436" s="7">
        <f>SUMIFS(Лист2!D:D, Лист2!A:A, A436, Лист2!B:B, B436)</f>
        <v>4951</v>
      </c>
      <c r="G436" s="7">
        <f>SUMIFS(Лист2!E:E, Лист2!A:A, A436, Лист2!B:B, B436)</f>
        <v>4584</v>
      </c>
      <c r="H436" s="7">
        <f t="shared" si="0"/>
        <v>166274.83333333334</v>
      </c>
      <c r="I436" s="21">
        <f t="shared" si="7"/>
        <v>22</v>
      </c>
    </row>
    <row r="437" spans="1:9" ht="14.25" customHeight="1" x14ac:dyDescent="0.25">
      <c r="A437" s="9">
        <v>43973</v>
      </c>
      <c r="B437" s="10" t="s">
        <v>16</v>
      </c>
      <c r="C437" s="10">
        <v>75820.5</v>
      </c>
      <c r="D437" s="10">
        <v>5943489</v>
      </c>
      <c r="E437" s="7">
        <f>SUMIFS(Лист2!C:C, Лист2!A:A, A437, Лист2!B:B, B437)</f>
        <v>36</v>
      </c>
      <c r="F437" s="7">
        <f>SUMIFS(Лист2!D:D, Лист2!A:A, A437, Лист2!B:B, B437)</f>
        <v>4857</v>
      </c>
      <c r="G437" s="7">
        <f>SUMIFS(Лист2!E:E, Лист2!A:A, A437, Лист2!B:B, B437)</f>
        <v>4456</v>
      </c>
      <c r="H437" s="7">
        <f t="shared" si="0"/>
        <v>165096.91666666666</v>
      </c>
      <c r="I437" s="21">
        <f t="shared" si="7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SUMIFS(Лист2!C:C, Лист2!A:A, A438, Лист2!B:B, B438)</f>
        <v>37</v>
      </c>
      <c r="F438" s="7">
        <f>SUMIFS(Лист2!D:D, Лист2!A:A, A438, Лист2!B:B, B438)</f>
        <v>4722</v>
      </c>
      <c r="G438" s="7">
        <f>SUMIFS(Лист2!E:E, Лист2!A:A, A438, Лист2!B:B, B438)</f>
        <v>4352</v>
      </c>
      <c r="H438" s="7">
        <f t="shared" si="0"/>
        <v>156764.59459459459</v>
      </c>
      <c r="I438" s="21">
        <f t="shared" si="7"/>
        <v>23</v>
      </c>
    </row>
    <row r="439" spans="1:9" ht="14.25" customHeight="1" x14ac:dyDescent="0.25">
      <c r="A439" s="9">
        <v>43962</v>
      </c>
      <c r="B439" s="10" t="s">
        <v>16</v>
      </c>
      <c r="C439" s="10">
        <v>59574</v>
      </c>
      <c r="D439" s="10">
        <v>5178169.5</v>
      </c>
      <c r="E439" s="7">
        <f>SUMIFS(Лист2!C:C, Лист2!A:A, A439, Лист2!B:B, B439)</f>
        <v>36</v>
      </c>
      <c r="F439" s="7">
        <f>SUMIFS(Лист2!D:D, Лист2!A:A, A439, Лист2!B:B, B439)</f>
        <v>4150</v>
      </c>
      <c r="G439" s="7">
        <f>SUMIFS(Лист2!E:E, Лист2!A:A, A439, Лист2!B:B, B439)</f>
        <v>3838</v>
      </c>
      <c r="H439" s="7">
        <f t="shared" si="0"/>
        <v>143838.04166666666</v>
      </c>
      <c r="I439" s="21">
        <f t="shared" si="7"/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SUMIFS(Лист2!C:C, Лист2!A:A, A440, Лист2!B:B, B440)</f>
        <v>124</v>
      </c>
      <c r="F440" s="7">
        <f>SUMIFS(Лист2!D:D, Лист2!A:A, A440, Лист2!B:B, B440)</f>
        <v>25828</v>
      </c>
      <c r="G440" s="7">
        <f>SUMIFS(Лист2!E:E, Лист2!A:A, A440, Лист2!B:B, B440)</f>
        <v>23974</v>
      </c>
      <c r="H440" s="7">
        <f t="shared" si="0"/>
        <v>436871.20161290321</v>
      </c>
      <c r="I440" s="21">
        <f t="shared" si="7"/>
        <v>22</v>
      </c>
    </row>
    <row r="441" spans="1:9" ht="14.25" customHeight="1" x14ac:dyDescent="0.25">
      <c r="A441" s="9">
        <v>43969</v>
      </c>
      <c r="B441" s="10" t="s">
        <v>16</v>
      </c>
      <c r="C441" s="10">
        <v>70278</v>
      </c>
      <c r="D441" s="10">
        <v>5798476.5</v>
      </c>
      <c r="E441" s="7">
        <f>SUMIFS(Лист2!C:C, Лист2!A:A, A441, Лист2!B:B, B441)</f>
        <v>36</v>
      </c>
      <c r="F441" s="7">
        <f>SUMIFS(Лист2!D:D, Лист2!A:A, A441, Лист2!B:B, B441)</f>
        <v>4885</v>
      </c>
      <c r="G441" s="7">
        <f>SUMIFS(Лист2!E:E, Лист2!A:A, A441, Лист2!B:B, B441)</f>
        <v>4502</v>
      </c>
      <c r="H441" s="7">
        <f t="shared" si="0"/>
        <v>161068.79166666666</v>
      </c>
      <c r="I441" s="21">
        <f t="shared" si="7"/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SUMIFS(Лист2!C:C, Лист2!A:A, A442, Лист2!B:B, B442)</f>
        <v>36</v>
      </c>
      <c r="F442" s="7">
        <f>SUMIFS(Лист2!D:D, Лист2!A:A, A442, Лист2!B:B, B442)</f>
        <v>4285</v>
      </c>
      <c r="G442" s="7">
        <f>SUMIFS(Лист2!E:E, Лист2!A:A, A442, Лист2!B:B, B442)</f>
        <v>3950</v>
      </c>
      <c r="H442" s="7">
        <f t="shared" si="0"/>
        <v>149072.29166666666</v>
      </c>
      <c r="I442" s="21">
        <f t="shared" si="7"/>
        <v>20</v>
      </c>
    </row>
    <row r="443" spans="1:9" ht="14.25" customHeight="1" x14ac:dyDescent="0.25">
      <c r="A443" s="9">
        <v>43966</v>
      </c>
      <c r="B443" s="10" t="s">
        <v>16</v>
      </c>
      <c r="C443" s="10">
        <v>75642</v>
      </c>
      <c r="D443" s="10">
        <v>6293952</v>
      </c>
      <c r="E443" s="7">
        <f>SUMIFS(Лист2!C:C, Лист2!A:A, A443, Лист2!B:B, B443)</f>
        <v>36</v>
      </c>
      <c r="F443" s="7">
        <f>SUMIFS(Лист2!D:D, Лист2!A:A, A443, Лист2!B:B, B443)</f>
        <v>4862</v>
      </c>
      <c r="G443" s="7">
        <f>SUMIFS(Лист2!E:E, Лист2!A:A, A443, Лист2!B:B, B443)</f>
        <v>4476</v>
      </c>
      <c r="H443" s="7">
        <f t="shared" si="0"/>
        <v>174832</v>
      </c>
      <c r="I443" s="21">
        <f t="shared" si="7"/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SUMIFS(Лист2!C:C, Лист2!A:A, A444, Лист2!B:B, B444)</f>
        <v>21</v>
      </c>
      <c r="F444" s="7">
        <f>SUMIFS(Лист2!D:D, Лист2!A:A, A444, Лист2!B:B, B444)</f>
        <v>2430</v>
      </c>
      <c r="G444" s="7">
        <f>SUMIFS(Лист2!E:E, Лист2!A:A, A444, Лист2!B:B, B444)</f>
        <v>2216</v>
      </c>
      <c r="H444" s="7">
        <f t="shared" si="0"/>
        <v>180040.57142857142</v>
      </c>
      <c r="I444" s="21">
        <f t="shared" si="7"/>
        <v>22</v>
      </c>
    </row>
    <row r="445" spans="1:9" ht="14.25" customHeight="1" x14ac:dyDescent="0.25">
      <c r="A445" s="9">
        <v>43973</v>
      </c>
      <c r="B445" s="10" t="s">
        <v>17</v>
      </c>
      <c r="C445" s="10">
        <v>53838</v>
      </c>
      <c r="D445" s="10">
        <v>4840833</v>
      </c>
      <c r="E445" s="7">
        <f>SUMIFS(Лист2!C:C, Лист2!A:A, A445, Лист2!B:B, B445)</f>
        <v>21</v>
      </c>
      <c r="F445" s="7">
        <f>SUMIFS(Лист2!D:D, Лист2!A:A, A445, Лист2!B:B, B445)</f>
        <v>2861</v>
      </c>
      <c r="G445" s="7">
        <f>SUMIFS(Лист2!E:E, Лист2!A:A, A445, Лист2!B:B, B445)</f>
        <v>2612</v>
      </c>
      <c r="H445" s="7">
        <f t="shared" si="0"/>
        <v>230515.85714285713</v>
      </c>
      <c r="I445" s="21">
        <f t="shared" si="7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SUMIFS(Лист2!C:C, Лист2!A:A, A446, Лист2!B:B, B446)</f>
        <v>23</v>
      </c>
      <c r="F446" s="7">
        <f>SUMIFS(Лист2!D:D, Лист2!A:A, A446, Лист2!B:B, B446)</f>
        <v>2531</v>
      </c>
      <c r="G446" s="7">
        <f>SUMIFS(Лист2!E:E, Лист2!A:A, A446, Лист2!B:B, B446)</f>
        <v>2296</v>
      </c>
      <c r="H446" s="7">
        <f t="shared" si="0"/>
        <v>168054.39130434784</v>
      </c>
      <c r="I446" s="21">
        <f t="shared" si="7"/>
        <v>23</v>
      </c>
    </row>
    <row r="447" spans="1:9" ht="14.25" customHeight="1" x14ac:dyDescent="0.25">
      <c r="A447" s="9">
        <v>43962</v>
      </c>
      <c r="B447" s="10" t="s">
        <v>17</v>
      </c>
      <c r="C447" s="10">
        <v>32733</v>
      </c>
      <c r="D447" s="10">
        <v>3079630.5</v>
      </c>
      <c r="E447" s="7">
        <f>SUMIFS(Лист2!C:C, Лист2!A:A, A447, Лист2!B:B, B447)</f>
        <v>21</v>
      </c>
      <c r="F447" s="7">
        <f>SUMIFS(Лист2!D:D, Лист2!A:A, A447, Лист2!B:B, B447)</f>
        <v>1916</v>
      </c>
      <c r="G447" s="7">
        <f>SUMIFS(Лист2!E:E, Лист2!A:A, A447, Лист2!B:B, B447)</f>
        <v>1733</v>
      </c>
      <c r="H447" s="7">
        <f t="shared" si="0"/>
        <v>146649.07142857142</v>
      </c>
      <c r="I447" s="21">
        <f t="shared" si="7"/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SUMIFS(Лист2!C:C, Лист2!A:A, A448, Лист2!B:B, B448)</f>
        <v>37</v>
      </c>
      <c r="F448" s="7">
        <f>SUMIFS(Лист2!D:D, Лист2!A:A, A448, Лист2!B:B, B448)</f>
        <v>5672</v>
      </c>
      <c r="G448" s="7">
        <f>SUMIFS(Лист2!E:E, Лист2!A:A, A448, Лист2!B:B, B448)</f>
        <v>5198</v>
      </c>
      <c r="H448" s="7">
        <f t="shared" si="0"/>
        <v>195362.02702702704</v>
      </c>
      <c r="I448" s="21">
        <f t="shared" si="7"/>
        <v>22</v>
      </c>
    </row>
    <row r="449" spans="1:9" ht="14.25" customHeight="1" x14ac:dyDescent="0.25">
      <c r="A449" s="9">
        <v>43969</v>
      </c>
      <c r="B449" s="10" t="s">
        <v>17</v>
      </c>
      <c r="C449" s="10">
        <v>36655.5</v>
      </c>
      <c r="D449" s="10">
        <v>3360135</v>
      </c>
      <c r="E449" s="7">
        <f>SUMIFS(Лист2!C:C, Лист2!A:A, A449, Лист2!B:B, B449)</f>
        <v>21</v>
      </c>
      <c r="F449" s="7">
        <f>SUMIFS(Лист2!D:D, Лист2!A:A, A449, Лист2!B:B, B449)</f>
        <v>2136</v>
      </c>
      <c r="G449" s="7">
        <f>SUMIFS(Лист2!E:E, Лист2!A:A, A449, Лист2!B:B, B449)</f>
        <v>1947</v>
      </c>
      <c r="H449" s="7">
        <f t="shared" si="0"/>
        <v>160006.42857142858</v>
      </c>
      <c r="I449" s="21">
        <f t="shared" si="7"/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SUMIFS(Лист2!C:C, Лист2!A:A, A450, Лист2!B:B, B450)</f>
        <v>21</v>
      </c>
      <c r="F450" s="7">
        <f>SUMIFS(Лист2!D:D, Лист2!A:A, A450, Лист2!B:B, B450)</f>
        <v>1993</v>
      </c>
      <c r="G450" s="7">
        <f>SUMIFS(Лист2!E:E, Лист2!A:A, A450, Лист2!B:B, B450)</f>
        <v>1796</v>
      </c>
      <c r="H450" s="7">
        <f t="shared" si="0"/>
        <v>150784.71428571429</v>
      </c>
      <c r="I450" s="21">
        <f t="shared" si="7"/>
        <v>20</v>
      </c>
    </row>
    <row r="451" spans="1:9" ht="14.25" customHeight="1" x14ac:dyDescent="0.25">
      <c r="A451" s="9">
        <v>43966</v>
      </c>
      <c r="B451" s="10" t="s">
        <v>17</v>
      </c>
      <c r="C451" s="10">
        <v>41697</v>
      </c>
      <c r="D451" s="10">
        <v>3772258.5</v>
      </c>
      <c r="E451" s="7">
        <f>SUMIFS(Лист2!C:C, Лист2!A:A, A451, Лист2!B:B, B451)</f>
        <v>21</v>
      </c>
      <c r="F451" s="7">
        <f>SUMIFS(Лист2!D:D, Лист2!A:A, A451, Лист2!B:B, B451)</f>
        <v>2255</v>
      </c>
      <c r="G451" s="7">
        <f>SUMIFS(Лист2!E:E, Лист2!A:A, A451, Лист2!B:B, B451)</f>
        <v>2045</v>
      </c>
      <c r="H451" s="7">
        <f t="shared" si="0"/>
        <v>179631.35714285713</v>
      </c>
      <c r="I451" s="21">
        <f t="shared" ref="I451:I505" si="8">_xlfn.ISOWEEKNUM(A451)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SUMIFS(Лист2!C:C, Лист2!A:A, A452, Лист2!B:B, B452)</f>
        <v>22</v>
      </c>
      <c r="F452" s="7">
        <f>SUMIFS(Лист2!D:D, Лист2!A:A, A452, Лист2!B:B, B452)</f>
        <v>2597</v>
      </c>
      <c r="G452" s="7">
        <f>SUMIFS(Лист2!E:E, Лист2!A:A, A452, Лист2!B:B, B452)</f>
        <v>2379</v>
      </c>
      <c r="H452" s="7">
        <f t="shared" si="0"/>
        <v>186754.36363636365</v>
      </c>
      <c r="I452" s="21">
        <f t="shared" si="8"/>
        <v>22</v>
      </c>
    </row>
    <row r="453" spans="1:9" ht="14.25" customHeight="1" x14ac:dyDescent="0.25">
      <c r="A453" s="9">
        <v>43978</v>
      </c>
      <c r="B453" s="10" t="s">
        <v>18</v>
      </c>
      <c r="C453" s="10">
        <v>18069</v>
      </c>
      <c r="D453" s="10">
        <v>1603084.5</v>
      </c>
      <c r="E453" s="7">
        <f>SUMIFS(Лист2!C:C, Лист2!A:A, A453, Лист2!B:B, B453)</f>
        <v>17</v>
      </c>
      <c r="F453" s="7">
        <f>SUMIFS(Лист2!D:D, Лист2!A:A, A453, Лист2!B:B, B453)</f>
        <v>1203</v>
      </c>
      <c r="G453" s="7">
        <f>SUMIFS(Лист2!E:E, Лист2!A:A, A453, Лист2!B:B, B453)</f>
        <v>1077</v>
      </c>
      <c r="H453" s="7">
        <f t="shared" si="0"/>
        <v>94299.088235294112</v>
      </c>
      <c r="I453" s="21">
        <f t="shared" si="8"/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SUMIFS(Лист2!C:C, Лист2!A:A, A454, Лист2!B:B, B454)</f>
        <v>17</v>
      </c>
      <c r="F454" s="7">
        <f>SUMIFS(Лист2!D:D, Лист2!A:A, A454, Лист2!B:B, B454)</f>
        <v>1268</v>
      </c>
      <c r="G454" s="7">
        <f>SUMIFS(Лист2!E:E, Лист2!A:A, A454, Лист2!B:B, B454)</f>
        <v>1129</v>
      </c>
      <c r="H454" s="7">
        <f t="shared" si="0"/>
        <v>104372.29411764706</v>
      </c>
      <c r="I454" s="21">
        <f t="shared" si="8"/>
        <v>21</v>
      </c>
    </row>
    <row r="455" spans="1:9" ht="14.25" customHeight="1" x14ac:dyDescent="0.25">
      <c r="A455" s="9">
        <v>43983</v>
      </c>
      <c r="B455" s="10" t="s">
        <v>18</v>
      </c>
      <c r="C455" s="10">
        <v>16687.5</v>
      </c>
      <c r="D455" s="10">
        <v>1526608.5</v>
      </c>
      <c r="E455" s="7">
        <f>SUMIFS(Лист2!C:C, Лист2!A:A, A455, Лист2!B:B, B455)</f>
        <v>17</v>
      </c>
      <c r="F455" s="7">
        <f>SUMIFS(Лист2!D:D, Лист2!A:A, A455, Лист2!B:B, B455)</f>
        <v>1185</v>
      </c>
      <c r="G455" s="7">
        <f>SUMIFS(Лист2!E:E, Лист2!A:A, A455, Лист2!B:B, B455)</f>
        <v>1042</v>
      </c>
      <c r="H455" s="7">
        <f t="shared" si="0"/>
        <v>89800.5</v>
      </c>
      <c r="I455" s="21">
        <f t="shared" si="8"/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SUMIFS(Лист2!C:C, Лист2!A:A, A456, Лист2!B:B, B456)</f>
        <v>15</v>
      </c>
      <c r="F456" s="7">
        <f>SUMIFS(Лист2!D:D, Лист2!A:A, A456, Лист2!B:B, B456)</f>
        <v>812</v>
      </c>
      <c r="G456" s="7">
        <f>SUMIFS(Лист2!E:E, Лист2!A:A, A456, Лист2!B:B, B456)</f>
        <v>714</v>
      </c>
      <c r="H456" s="7">
        <f t="shared" si="0"/>
        <v>73066.8</v>
      </c>
      <c r="I456" s="21">
        <f t="shared" si="8"/>
        <v>20</v>
      </c>
    </row>
    <row r="457" spans="1:9" ht="14.25" customHeight="1" x14ac:dyDescent="0.25">
      <c r="A457" s="9">
        <v>43969</v>
      </c>
      <c r="B457" s="10" t="s">
        <v>18</v>
      </c>
      <c r="C457" s="10">
        <v>14290.5</v>
      </c>
      <c r="D457" s="10">
        <v>1246162.5</v>
      </c>
      <c r="E457" s="7">
        <f>SUMIFS(Лист2!C:C, Лист2!A:A, A457, Лист2!B:B, B457)</f>
        <v>16</v>
      </c>
      <c r="F457" s="7">
        <f>SUMIFS(Лист2!D:D, Лист2!A:A, A457, Лист2!B:B, B457)</f>
        <v>925</v>
      </c>
      <c r="G457" s="7">
        <f>SUMIFS(Лист2!E:E, Лист2!A:A, A457, Лист2!B:B, B457)</f>
        <v>816</v>
      </c>
      <c r="H457" s="7">
        <f t="shared" si="0"/>
        <v>77885.15625</v>
      </c>
      <c r="I457" s="21">
        <f t="shared" si="8"/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SUMIFS(Лист2!C:C, Лист2!A:A, A458, Лист2!B:B, B458)</f>
        <v>15</v>
      </c>
      <c r="F458" s="7">
        <f>SUMIFS(Лист2!D:D, Лист2!A:A, A458, Лист2!B:B, B458)</f>
        <v>890</v>
      </c>
      <c r="G458" s="7">
        <f>SUMIFS(Лист2!E:E, Лист2!A:A, A458, Лист2!B:B, B458)</f>
        <v>777</v>
      </c>
      <c r="H458" s="7">
        <f t="shared" si="0"/>
        <v>81566.100000000006</v>
      </c>
      <c r="I458" s="21">
        <f t="shared" si="8"/>
        <v>20</v>
      </c>
    </row>
    <row r="459" spans="1:9" ht="14.25" customHeight="1" x14ac:dyDescent="0.25">
      <c r="A459" s="9">
        <v>43966</v>
      </c>
      <c r="B459" s="10" t="s">
        <v>18</v>
      </c>
      <c r="C459" s="10">
        <v>16498.5</v>
      </c>
      <c r="D459" s="10">
        <v>1370482.5</v>
      </c>
      <c r="E459" s="7">
        <f>SUMIFS(Лист2!C:C, Лист2!A:A, A459, Лист2!B:B, B459)</f>
        <v>15</v>
      </c>
      <c r="F459" s="7">
        <f>SUMIFS(Лист2!D:D, Лист2!A:A, A459, Лист2!B:B, B459)</f>
        <v>980</v>
      </c>
      <c r="G459" s="7">
        <f>SUMIFS(Лист2!E:E, Лист2!A:A, A459, Лист2!B:B, B459)</f>
        <v>867</v>
      </c>
      <c r="H459" s="7">
        <f t="shared" si="0"/>
        <v>91365.5</v>
      </c>
      <c r="I459" s="21">
        <f t="shared" si="8"/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SUMIFS(Лист2!C:C, Лист2!A:A, A460, Лист2!B:B, B460)</f>
        <v>15</v>
      </c>
      <c r="F460" s="7">
        <f>SUMIFS(Лист2!D:D, Лист2!A:A, A460, Лист2!B:B, B460)</f>
        <v>809</v>
      </c>
      <c r="G460" s="7">
        <f>SUMIFS(Лист2!E:E, Лист2!A:A, A460, Лист2!B:B, B460)</f>
        <v>702</v>
      </c>
      <c r="H460" s="7">
        <f t="shared" si="0"/>
        <v>80763.8</v>
      </c>
      <c r="I460" s="21">
        <f t="shared" si="8"/>
        <v>22</v>
      </c>
    </row>
    <row r="461" spans="1:9" ht="14.25" customHeight="1" x14ac:dyDescent="0.25">
      <c r="A461" s="9">
        <v>43973</v>
      </c>
      <c r="B461" s="10" t="s">
        <v>19</v>
      </c>
      <c r="C461" s="10">
        <v>15802.5</v>
      </c>
      <c r="D461" s="10">
        <v>1411909.5</v>
      </c>
      <c r="E461" s="7">
        <f>SUMIFS(Лист2!C:C, Лист2!A:A, A461, Лист2!B:B, B461)</f>
        <v>15</v>
      </c>
      <c r="F461" s="7">
        <f>SUMIFS(Лист2!D:D, Лист2!A:A, A461, Лист2!B:B, B461)</f>
        <v>903</v>
      </c>
      <c r="G461" s="7">
        <f>SUMIFS(Лист2!E:E, Лист2!A:A, A461, Лист2!B:B, B461)</f>
        <v>792</v>
      </c>
      <c r="H461" s="7">
        <f t="shared" si="0"/>
        <v>94127.3</v>
      </c>
      <c r="I461" s="21">
        <f t="shared" si="8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SUMIFS(Лист2!C:C, Лист2!A:A, A462, Лист2!B:B, B462)</f>
        <v>16</v>
      </c>
      <c r="F462" s="7">
        <f>SUMIFS(Лист2!D:D, Лист2!A:A, A462, Лист2!B:B, B462)</f>
        <v>1019</v>
      </c>
      <c r="G462" s="7">
        <f>SUMIFS(Лист2!E:E, Лист2!A:A, A462, Лист2!B:B, B462)</f>
        <v>895</v>
      </c>
      <c r="H462" s="7">
        <f t="shared" si="0"/>
        <v>97852.03125</v>
      </c>
      <c r="I462" s="21">
        <f t="shared" si="8"/>
        <v>23</v>
      </c>
    </row>
    <row r="463" spans="1:9" ht="14.25" customHeight="1" x14ac:dyDescent="0.25">
      <c r="A463" s="9">
        <v>43962</v>
      </c>
      <c r="B463" s="10" t="s">
        <v>19</v>
      </c>
      <c r="C463" s="10">
        <v>12654</v>
      </c>
      <c r="D463" s="10">
        <v>1081158</v>
      </c>
      <c r="E463" s="7">
        <f>SUMIFS(Лист2!C:C, Лист2!A:A, A463, Лист2!B:B, B463)</f>
        <v>15</v>
      </c>
      <c r="F463" s="7">
        <f>SUMIFS(Лист2!D:D, Лист2!A:A, A463, Лист2!B:B, B463)</f>
        <v>684</v>
      </c>
      <c r="G463" s="7">
        <f>SUMIFS(Лист2!E:E, Лист2!A:A, A463, Лист2!B:B, B463)</f>
        <v>585</v>
      </c>
      <c r="H463" s="7">
        <f t="shared" si="0"/>
        <v>72077.2</v>
      </c>
      <c r="I463" s="21">
        <f t="shared" si="8"/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SUMIFS(Лист2!C:C, Лист2!A:A, A464, Лист2!B:B, B464)</f>
        <v>17</v>
      </c>
      <c r="F464" s="7">
        <f>SUMIFS(Лист2!D:D, Лист2!A:A, A464, Лист2!B:B, B464)</f>
        <v>1296</v>
      </c>
      <c r="G464" s="7">
        <f>SUMIFS(Лист2!E:E, Лист2!A:A, A464, Лист2!B:B, B464)</f>
        <v>1153</v>
      </c>
      <c r="H464" s="7">
        <f t="shared" si="0"/>
        <v>103804.05882352941</v>
      </c>
      <c r="I464" s="21">
        <f t="shared" si="8"/>
        <v>22</v>
      </c>
    </row>
    <row r="465" spans="1:9" ht="14.25" customHeight="1" x14ac:dyDescent="0.25">
      <c r="A465" s="9">
        <v>43969</v>
      </c>
      <c r="B465" s="10" t="s">
        <v>19</v>
      </c>
      <c r="C465" s="10">
        <v>12450</v>
      </c>
      <c r="D465" s="10">
        <v>1115146.5</v>
      </c>
      <c r="E465" s="7">
        <f>SUMIFS(Лист2!C:C, Лист2!A:A, A465, Лист2!B:B, B465)</f>
        <v>15</v>
      </c>
      <c r="F465" s="7">
        <f>SUMIFS(Лист2!D:D, Лист2!A:A, A465, Лист2!B:B, B465)</f>
        <v>729</v>
      </c>
      <c r="G465" s="7">
        <f>SUMIFS(Лист2!E:E, Лист2!A:A, A465, Лист2!B:B, B465)</f>
        <v>636</v>
      </c>
      <c r="H465" s="7">
        <f t="shared" si="0"/>
        <v>74343.100000000006</v>
      </c>
      <c r="I465" s="21">
        <f t="shared" si="8"/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SUMIFS(Лист2!C:C, Лист2!A:A, A466, Лист2!B:B, B466)</f>
        <v>15</v>
      </c>
      <c r="F466" s="7">
        <f>SUMIFS(Лист2!D:D, Лист2!A:A, A466, Лист2!B:B, B466)</f>
        <v>638</v>
      </c>
      <c r="G466" s="7">
        <f>SUMIFS(Лист2!E:E, Лист2!A:A, A466, Лист2!B:B, B466)</f>
        <v>548</v>
      </c>
      <c r="H466" s="7">
        <f t="shared" si="0"/>
        <v>64233.5</v>
      </c>
      <c r="I466" s="21">
        <f t="shared" si="8"/>
        <v>20</v>
      </c>
    </row>
    <row r="467" spans="1:9" ht="14.25" customHeight="1" x14ac:dyDescent="0.25">
      <c r="A467" s="9">
        <v>43966</v>
      </c>
      <c r="B467" s="10" t="s">
        <v>19</v>
      </c>
      <c r="C467" s="10">
        <v>12229.5</v>
      </c>
      <c r="D467" s="10">
        <v>1122730.5</v>
      </c>
      <c r="E467" s="7">
        <f>SUMIFS(Лист2!C:C, Лист2!A:A, A467, Лист2!B:B, B467)</f>
        <v>15</v>
      </c>
      <c r="F467" s="7">
        <f>SUMIFS(Лист2!D:D, Лист2!A:A, A467, Лист2!B:B, B467)</f>
        <v>688</v>
      </c>
      <c r="G467" s="7">
        <f>SUMIFS(Лист2!E:E, Лист2!A:A, A467, Лист2!B:B, B467)</f>
        <v>598</v>
      </c>
      <c r="H467" s="7">
        <f t="shared" si="0"/>
        <v>74848.7</v>
      </c>
      <c r="I467" s="21">
        <f t="shared" si="8"/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SUMIFS(Лист2!C:C, Лист2!A:A, A468, Лист2!B:B, B468)</f>
        <v>20</v>
      </c>
      <c r="F468" s="7">
        <f>SUMIFS(Лист2!D:D, Лист2!A:A, A468, Лист2!B:B, B468)</f>
        <v>1873</v>
      </c>
      <c r="G468" s="7">
        <f>SUMIFS(Лист2!E:E, Лист2!A:A, A468, Лист2!B:B, B468)</f>
        <v>1715</v>
      </c>
      <c r="H468" s="7">
        <f t="shared" si="0"/>
        <v>122927.77499999999</v>
      </c>
      <c r="I468" s="21">
        <f t="shared" si="8"/>
        <v>22</v>
      </c>
    </row>
    <row r="469" spans="1:9" ht="14.25" customHeight="1" x14ac:dyDescent="0.25">
      <c r="A469" s="9">
        <v>43973</v>
      </c>
      <c r="B469" s="10" t="s">
        <v>20</v>
      </c>
      <c r="C469" s="10">
        <v>30781.5</v>
      </c>
      <c r="D469" s="10">
        <v>2540715</v>
      </c>
      <c r="E469" s="7">
        <f>SUMIFS(Лист2!C:C, Лист2!A:A, A469, Лист2!B:B, B469)</f>
        <v>19</v>
      </c>
      <c r="F469" s="7">
        <f>SUMIFS(Лист2!D:D, Лист2!A:A, A469, Лист2!B:B, B469)</f>
        <v>1859</v>
      </c>
      <c r="G469" s="7">
        <f>SUMIFS(Лист2!E:E, Лист2!A:A, A469, Лист2!B:B, B469)</f>
        <v>1697</v>
      </c>
      <c r="H469" s="7">
        <f t="shared" si="0"/>
        <v>133721.84210526315</v>
      </c>
      <c r="I469" s="21">
        <f t="shared" si="8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SUMIFS(Лист2!C:C, Лист2!A:A, A470, Лист2!B:B, B470)</f>
        <v>21</v>
      </c>
      <c r="F470" s="7">
        <f>SUMIFS(Лист2!D:D, Лист2!A:A, A470, Лист2!B:B, B470)</f>
        <v>1879</v>
      </c>
      <c r="G470" s="7">
        <f>SUMIFS(Лист2!E:E, Лист2!A:A, A470, Лист2!B:B, B470)</f>
        <v>1720</v>
      </c>
      <c r="H470" s="7">
        <f t="shared" si="0"/>
        <v>120903.21428571429</v>
      </c>
      <c r="I470" s="21">
        <f t="shared" si="8"/>
        <v>23</v>
      </c>
    </row>
    <row r="471" spans="1:9" ht="14.25" customHeight="1" x14ac:dyDescent="0.25">
      <c r="A471" s="9">
        <v>43962</v>
      </c>
      <c r="B471" s="10" t="s">
        <v>20</v>
      </c>
      <c r="C471" s="10">
        <v>23629.5</v>
      </c>
      <c r="D471" s="10">
        <v>2164365</v>
      </c>
      <c r="E471" s="7">
        <f>SUMIFS(Лист2!C:C, Лист2!A:A, A471, Лист2!B:B, B471)</f>
        <v>19</v>
      </c>
      <c r="F471" s="7">
        <f>SUMIFS(Лист2!D:D, Лист2!A:A, A471, Лист2!B:B, B471)</f>
        <v>1527</v>
      </c>
      <c r="G471" s="7">
        <f>SUMIFS(Лист2!E:E, Лист2!A:A, A471, Лист2!B:B, B471)</f>
        <v>1389</v>
      </c>
      <c r="H471" s="7">
        <f t="shared" si="0"/>
        <v>113913.94736842105</v>
      </c>
      <c r="I471" s="21">
        <f t="shared" si="8"/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SUMIFS(Лист2!C:C, Лист2!A:A, A472, Лист2!B:B, B472)</f>
        <v>16</v>
      </c>
      <c r="F472" s="7">
        <f>SUMIFS(Лист2!D:D, Лист2!A:A, A472, Лист2!B:B, B472)</f>
        <v>981</v>
      </c>
      <c r="G472" s="7">
        <f>SUMIFS(Лист2!E:E, Лист2!A:A, A472, Лист2!B:B, B472)</f>
        <v>859</v>
      </c>
      <c r="H472" s="7">
        <f t="shared" si="0"/>
        <v>96813.75</v>
      </c>
      <c r="I472" s="21">
        <f t="shared" si="8"/>
        <v>22</v>
      </c>
    </row>
    <row r="473" spans="1:9" ht="14.25" customHeight="1" x14ac:dyDescent="0.25">
      <c r="A473" s="9">
        <v>43969</v>
      </c>
      <c r="B473" s="10" t="s">
        <v>20</v>
      </c>
      <c r="C473" s="10">
        <v>27181.5</v>
      </c>
      <c r="D473" s="10">
        <v>2324490</v>
      </c>
      <c r="E473" s="7">
        <f>SUMIFS(Лист2!C:C, Лист2!A:A, A473, Лист2!B:B, B473)</f>
        <v>19</v>
      </c>
      <c r="F473" s="7">
        <f>SUMIFS(Лист2!D:D, Лист2!A:A, A473, Лист2!B:B, B473)</f>
        <v>1741</v>
      </c>
      <c r="G473" s="7">
        <f>SUMIFS(Лист2!E:E, Лист2!A:A, A473, Лист2!B:B, B473)</f>
        <v>1597</v>
      </c>
      <c r="H473" s="7">
        <f t="shared" si="0"/>
        <v>122341.57894736843</v>
      </c>
      <c r="I473" s="21">
        <f t="shared" si="8"/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SUMIFS(Лист2!C:C, Лист2!A:A, A474, Лист2!B:B, B474)</f>
        <v>19</v>
      </c>
      <c r="F474" s="7">
        <f>SUMIFS(Лист2!D:D, Лист2!A:A, A474, Лист2!B:B, B474)</f>
        <v>1635</v>
      </c>
      <c r="G474" s="7">
        <f>SUMIFS(Лист2!E:E, Лист2!A:A, A474, Лист2!B:B, B474)</f>
        <v>1487</v>
      </c>
      <c r="H474" s="7">
        <f t="shared" si="0"/>
        <v>117123.23684210527</v>
      </c>
      <c r="I474" s="21">
        <f t="shared" si="8"/>
        <v>20</v>
      </c>
    </row>
    <row r="475" spans="1:9" ht="14.25" customHeight="1" x14ac:dyDescent="0.25">
      <c r="A475" s="9">
        <v>43966</v>
      </c>
      <c r="B475" s="10" t="s">
        <v>20</v>
      </c>
      <c r="C475" s="10">
        <v>29283</v>
      </c>
      <c r="D475" s="10">
        <v>2477487</v>
      </c>
      <c r="E475" s="7">
        <f>SUMIFS(Лист2!C:C, Лист2!A:A, A475, Лист2!B:B, B475)</f>
        <v>19</v>
      </c>
      <c r="F475" s="7">
        <f>SUMIFS(Лист2!D:D, Лист2!A:A, A475, Лист2!B:B, B475)</f>
        <v>1780</v>
      </c>
      <c r="G475" s="7">
        <f>SUMIFS(Лист2!E:E, Лист2!A:A, A475, Лист2!B:B, B475)</f>
        <v>1615</v>
      </c>
      <c r="H475" s="7">
        <f t="shared" si="0"/>
        <v>130394.05263157895</v>
      </c>
      <c r="I475" s="21">
        <f t="shared" si="8"/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SUMIFS(Лист2!C:C, Лист2!A:A, A476, Лист2!B:B, B476)</f>
        <v>20</v>
      </c>
      <c r="F476" s="7">
        <f>SUMIFS(Лист2!D:D, Лист2!A:A, A476, Лист2!B:B, B476)</f>
        <v>2064</v>
      </c>
      <c r="G476" s="7">
        <f>SUMIFS(Лист2!E:E, Лист2!A:A, A476, Лист2!B:B, B476)</f>
        <v>1896</v>
      </c>
      <c r="H476" s="7">
        <f t="shared" si="0"/>
        <v>142737.07500000001</v>
      </c>
      <c r="I476" s="21">
        <f t="shared" si="8"/>
        <v>22</v>
      </c>
    </row>
    <row r="477" spans="1:9" ht="14.25" customHeight="1" x14ac:dyDescent="0.25">
      <c r="A477" s="9">
        <v>43978</v>
      </c>
      <c r="B477" s="10" t="s">
        <v>21</v>
      </c>
      <c r="C477" s="10">
        <v>215592</v>
      </c>
      <c r="D477" s="10">
        <v>22342300.5</v>
      </c>
      <c r="E477" s="7">
        <f>SUMIFS(Лист2!C:C, Лист2!A:A, A477, Лист2!B:B, B477)</f>
        <v>59</v>
      </c>
      <c r="F477" s="7">
        <f>SUMIFS(Лист2!D:D, Лист2!A:A, A477, Лист2!B:B, B477)</f>
        <v>13942</v>
      </c>
      <c r="G477" s="7">
        <f>SUMIFS(Лист2!E:E, Лист2!A:A, A477, Лист2!B:B, B477)</f>
        <v>12986</v>
      </c>
      <c r="H477" s="7">
        <f t="shared" si="0"/>
        <v>378683.05932203389</v>
      </c>
      <c r="I477" s="21">
        <f t="shared" si="8"/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SUMIFS(Лист2!C:C, Лист2!A:A, A478, Лист2!B:B, B478)</f>
        <v>60</v>
      </c>
      <c r="F478" s="7">
        <f>SUMIFS(Лист2!D:D, Лист2!A:A, A478, Лист2!B:B, B478)</f>
        <v>14050</v>
      </c>
      <c r="G478" s="7">
        <f>SUMIFS(Лист2!E:E, Лист2!A:A, A478, Лист2!B:B, B478)</f>
        <v>13027</v>
      </c>
      <c r="H478" s="7">
        <f t="shared" si="0"/>
        <v>373012.875</v>
      </c>
      <c r="I478" s="21">
        <f t="shared" si="8"/>
        <v>21</v>
      </c>
    </row>
    <row r="479" spans="1:9" ht="14.25" customHeight="1" x14ac:dyDescent="0.25">
      <c r="A479" s="9">
        <v>43983</v>
      </c>
      <c r="B479" s="10" t="s">
        <v>21</v>
      </c>
      <c r="C479" s="10">
        <v>188776.5</v>
      </c>
      <c r="D479" s="10">
        <v>19465372.5</v>
      </c>
      <c r="E479" s="7">
        <f>SUMIFS(Лист2!C:C, Лист2!A:A, A479, Лист2!B:B, B479)</f>
        <v>59</v>
      </c>
      <c r="F479" s="7">
        <f>SUMIFS(Лист2!D:D, Лист2!A:A, A479, Лист2!B:B, B479)</f>
        <v>12299</v>
      </c>
      <c r="G479" s="7">
        <f>SUMIFS(Лист2!E:E, Лист2!A:A, A479, Лист2!B:B, B479)</f>
        <v>11448</v>
      </c>
      <c r="H479" s="7">
        <f t="shared" si="0"/>
        <v>329921.56779661018</v>
      </c>
      <c r="I479" s="21">
        <f t="shared" si="8"/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SUMIFS(Лист2!C:C, Лист2!A:A, A480, Лист2!B:B, B480)</f>
        <v>60</v>
      </c>
      <c r="F480" s="7">
        <f>SUMIFS(Лист2!D:D, Лист2!A:A, A480, Лист2!B:B, B480)</f>
        <v>11100</v>
      </c>
      <c r="G480" s="7">
        <f>SUMIFS(Лист2!E:E, Лист2!A:A, A480, Лист2!B:B, B480)</f>
        <v>10407</v>
      </c>
      <c r="H480" s="7">
        <f t="shared" si="0"/>
        <v>298652.40000000002</v>
      </c>
      <c r="I480" s="21">
        <f t="shared" si="8"/>
        <v>20</v>
      </c>
    </row>
    <row r="481" spans="1:9" ht="14.25" customHeight="1" x14ac:dyDescent="0.25">
      <c r="A481" s="9">
        <v>43969</v>
      </c>
      <c r="B481" s="10" t="s">
        <v>21</v>
      </c>
      <c r="C481" s="10">
        <v>201999</v>
      </c>
      <c r="D481" s="10">
        <v>20422435.5</v>
      </c>
      <c r="E481" s="7">
        <f>SUMIFS(Лист2!C:C, Лист2!A:A, A481, Лист2!B:B, B481)</f>
        <v>60</v>
      </c>
      <c r="F481" s="7">
        <f>SUMIFS(Лист2!D:D, Лист2!A:A, A481, Лист2!B:B, B481)</f>
        <v>12460</v>
      </c>
      <c r="G481" s="7">
        <f>SUMIFS(Лист2!E:E, Лист2!A:A, A481, Лист2!B:B, B481)</f>
        <v>11665</v>
      </c>
      <c r="H481" s="7">
        <f t="shared" si="0"/>
        <v>340373.92499999999</v>
      </c>
      <c r="I481" s="21">
        <f t="shared" si="8"/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SUMIFS(Лист2!C:C, Лист2!A:A, A482, Лист2!B:B, B482)</f>
        <v>60</v>
      </c>
      <c r="F482" s="7">
        <f>SUMIFS(Лист2!D:D, Лист2!A:A, A482, Лист2!B:B, B482)</f>
        <v>11935</v>
      </c>
      <c r="G482" s="7">
        <f>SUMIFS(Лист2!E:E, Лист2!A:A, A482, Лист2!B:B, B482)</f>
        <v>11178</v>
      </c>
      <c r="H482" s="7">
        <f t="shared" si="0"/>
        <v>332373.92499999999</v>
      </c>
      <c r="I482" s="21">
        <f t="shared" si="8"/>
        <v>20</v>
      </c>
    </row>
    <row r="483" spans="1:9" ht="14.25" customHeight="1" x14ac:dyDescent="0.25">
      <c r="A483" s="9">
        <v>43966</v>
      </c>
      <c r="B483" s="10" t="s">
        <v>21</v>
      </c>
      <c r="C483" s="10">
        <v>230896.5</v>
      </c>
      <c r="D483" s="10">
        <v>23085222</v>
      </c>
      <c r="E483" s="7">
        <f>SUMIFS(Лист2!C:C, Лист2!A:A, A483, Лист2!B:B, B483)</f>
        <v>60</v>
      </c>
      <c r="F483" s="7">
        <f>SUMIFS(Лист2!D:D, Лист2!A:A, A483, Лист2!B:B, B483)</f>
        <v>13544</v>
      </c>
      <c r="G483" s="7">
        <f>SUMIFS(Лист2!E:E, Лист2!A:A, A483, Лист2!B:B, B483)</f>
        <v>12643</v>
      </c>
      <c r="H483" s="7">
        <f t="shared" si="0"/>
        <v>384753.7</v>
      </c>
      <c r="I483" s="21">
        <f t="shared" si="8"/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SUMIFS(Лист2!C:C, Лист2!A:A, A484, Лист2!B:B, B484)</f>
        <v>54</v>
      </c>
      <c r="F484" s="7">
        <f>SUMIFS(Лист2!D:D, Лист2!A:A, A484, Лист2!B:B, B484)</f>
        <v>13091</v>
      </c>
      <c r="G484" s="7">
        <f>SUMIFS(Лист2!E:E, Лист2!A:A, A484, Лист2!B:B, B484)</f>
        <v>12216</v>
      </c>
      <c r="H484" s="7">
        <f t="shared" si="0"/>
        <v>388024.52777777775</v>
      </c>
      <c r="I484" s="21">
        <f t="shared" si="8"/>
        <v>22</v>
      </c>
    </row>
    <row r="485" spans="1:9" ht="14.25" customHeight="1" x14ac:dyDescent="0.25">
      <c r="A485" s="9">
        <v>43973</v>
      </c>
      <c r="B485" s="10" t="s">
        <v>22</v>
      </c>
      <c r="C485" s="10">
        <v>214428</v>
      </c>
      <c r="D485" s="10">
        <v>20812585.5</v>
      </c>
      <c r="E485" s="7">
        <f>SUMIFS(Лист2!C:C, Лист2!A:A, A485, Лист2!B:B, B485)</f>
        <v>54</v>
      </c>
      <c r="F485" s="7">
        <f>SUMIFS(Лист2!D:D, Лист2!A:A, A485, Лист2!B:B, B485)</f>
        <v>13014</v>
      </c>
      <c r="G485" s="7">
        <f>SUMIFS(Лист2!E:E, Лист2!A:A, A485, Лист2!B:B, B485)</f>
        <v>12095</v>
      </c>
      <c r="H485" s="7">
        <f t="shared" si="0"/>
        <v>385418.25</v>
      </c>
      <c r="I485" s="21">
        <f t="shared" si="8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SUMIFS(Лист2!C:C, Лист2!A:A, A486, Лист2!B:B, B486)</f>
        <v>54</v>
      </c>
      <c r="F486" s="7">
        <f>SUMIFS(Лист2!D:D, Лист2!A:A, A486, Лист2!B:B, B486)</f>
        <v>11864</v>
      </c>
      <c r="G486" s="7">
        <f>SUMIFS(Лист2!E:E, Лист2!A:A, A486, Лист2!B:B, B486)</f>
        <v>11071</v>
      </c>
      <c r="H486" s="7">
        <f t="shared" si="0"/>
        <v>350262.86111111112</v>
      </c>
      <c r="I486" s="21">
        <f t="shared" si="8"/>
        <v>23</v>
      </c>
    </row>
    <row r="487" spans="1:9" ht="14.25" customHeight="1" x14ac:dyDescent="0.25">
      <c r="A487" s="9">
        <v>43962</v>
      </c>
      <c r="B487" s="10" t="s">
        <v>22</v>
      </c>
      <c r="C487" s="10">
        <v>166948.5</v>
      </c>
      <c r="D487" s="10">
        <v>16971231</v>
      </c>
      <c r="E487" s="7">
        <f>SUMIFS(Лист2!C:C, Лист2!A:A, A487, Лист2!B:B, B487)</f>
        <v>54</v>
      </c>
      <c r="F487" s="7">
        <f>SUMIFS(Лист2!D:D, Лист2!A:A, A487, Лист2!B:B, B487)</f>
        <v>10570</v>
      </c>
      <c r="G487" s="7">
        <f>SUMIFS(Лист2!E:E, Лист2!A:A, A487, Лист2!B:B, B487)</f>
        <v>9926</v>
      </c>
      <c r="H487" s="7">
        <f t="shared" si="0"/>
        <v>314282.05555555556</v>
      </c>
      <c r="I487" s="21">
        <f t="shared" si="8"/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SUMIFS(Лист2!C:C, Лист2!A:A, A488, Лист2!B:B, B488)</f>
        <v>59</v>
      </c>
      <c r="F488" s="7">
        <f>SUMIFS(Лист2!D:D, Лист2!A:A, A488, Лист2!B:B, B488)</f>
        <v>14507</v>
      </c>
      <c r="G488" s="7">
        <f>SUMIFS(Лист2!E:E, Лист2!A:A, A488, Лист2!B:B, B488)</f>
        <v>13386</v>
      </c>
      <c r="H488" s="7">
        <f t="shared" si="0"/>
        <v>391871.92372881353</v>
      </c>
      <c r="I488" s="21">
        <f t="shared" si="8"/>
        <v>22</v>
      </c>
    </row>
    <row r="489" spans="1:9" ht="14.25" customHeight="1" x14ac:dyDescent="0.25">
      <c r="A489" s="9">
        <v>43969</v>
      </c>
      <c r="B489" s="10" t="s">
        <v>22</v>
      </c>
      <c r="C489" s="10">
        <v>196560</v>
      </c>
      <c r="D489" s="10">
        <v>19855122</v>
      </c>
      <c r="E489" s="7">
        <f>SUMIFS(Лист2!C:C, Лист2!A:A, A489, Лист2!B:B, B489)</f>
        <v>54</v>
      </c>
      <c r="F489" s="7">
        <f>SUMIFS(Лист2!D:D, Лист2!A:A, A489, Лист2!B:B, B489)</f>
        <v>12012</v>
      </c>
      <c r="G489" s="7">
        <f>SUMIFS(Лист2!E:E, Лист2!A:A, A489, Лист2!B:B, B489)</f>
        <v>11308</v>
      </c>
      <c r="H489" s="7">
        <f t="shared" si="0"/>
        <v>367687.44444444444</v>
      </c>
      <c r="I489" s="21">
        <f t="shared" si="8"/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SUMIFS(Лист2!C:C, Лист2!A:A, A490, Лист2!B:B, B490)</f>
        <v>54</v>
      </c>
      <c r="F490" s="7">
        <f>SUMIFS(Лист2!D:D, Лист2!A:A, A490, Лист2!B:B, B490)</f>
        <v>11194</v>
      </c>
      <c r="G490" s="7">
        <f>SUMIFS(Лист2!E:E, Лист2!A:A, A490, Лист2!B:B, B490)</f>
        <v>10554</v>
      </c>
      <c r="H490" s="7">
        <f t="shared" si="0"/>
        <v>345203.66666666669</v>
      </c>
      <c r="I490" s="21">
        <f t="shared" si="8"/>
        <v>20</v>
      </c>
    </row>
    <row r="491" spans="1:9" ht="14.25" customHeight="1" x14ac:dyDescent="0.25">
      <c r="A491" s="9">
        <v>43966</v>
      </c>
      <c r="B491" s="10" t="s">
        <v>22</v>
      </c>
      <c r="C491" s="10">
        <v>219772.5</v>
      </c>
      <c r="D491" s="10">
        <v>21895294.5</v>
      </c>
      <c r="E491" s="7">
        <f>SUMIFS(Лист2!C:C, Лист2!A:A, A491, Лист2!B:B, B491)</f>
        <v>54</v>
      </c>
      <c r="F491" s="7">
        <f>SUMIFS(Лист2!D:D, Лист2!A:A, A491, Лист2!B:B, B491)</f>
        <v>12791</v>
      </c>
      <c r="G491" s="7">
        <f>SUMIFS(Лист2!E:E, Лист2!A:A, A491, Лист2!B:B, B491)</f>
        <v>11950</v>
      </c>
      <c r="H491" s="7">
        <f t="shared" si="0"/>
        <v>405468.41666666669</v>
      </c>
      <c r="I491" s="21">
        <f t="shared" si="8"/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SUMIFS(Лист2!C:C, Лист2!A:A, A492, Лист2!B:B, B492)</f>
        <v>54</v>
      </c>
      <c r="F492" s="7">
        <f>SUMIFS(Лист2!D:D, Лист2!A:A, A492, Лист2!B:B, B492)</f>
        <v>14031</v>
      </c>
      <c r="G492" s="7">
        <f>SUMIFS(Лист2!E:E, Лист2!A:A, A492, Лист2!B:B, B492)</f>
        <v>12943</v>
      </c>
      <c r="H492" s="7">
        <f t="shared" si="0"/>
        <v>415113.91666666669</v>
      </c>
      <c r="I492" s="21">
        <f t="shared" si="8"/>
        <v>22</v>
      </c>
    </row>
    <row r="493" spans="1:9" ht="14.25" customHeight="1" x14ac:dyDescent="0.25">
      <c r="A493" s="9">
        <v>43978</v>
      </c>
      <c r="B493" s="10" t="s">
        <v>24</v>
      </c>
      <c r="C493" s="10">
        <v>8362.5</v>
      </c>
      <c r="D493" s="10">
        <v>687684</v>
      </c>
      <c r="E493" s="7">
        <f>SUMIFS(Лист2!C:C, Лист2!A:A, A493, Лист2!B:B, B493)</f>
        <v>7</v>
      </c>
      <c r="F493" s="7">
        <f>SUMIFS(Лист2!D:D, Лист2!A:A, A493, Лист2!B:B, B493)</f>
        <v>409</v>
      </c>
      <c r="G493" s="7">
        <f>SUMIFS(Лист2!E:E, Лист2!A:A, A493, Лист2!B:B, B493)</f>
        <v>329</v>
      </c>
      <c r="H493" s="7">
        <f t="shared" si="0"/>
        <v>98240.571428571435</v>
      </c>
      <c r="I493" s="21">
        <f t="shared" si="8"/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SUMIFS(Лист2!C:C, Лист2!A:A, A494, Лист2!B:B, B494)</f>
        <v>18</v>
      </c>
      <c r="F494" s="7">
        <f>SUMIFS(Лист2!D:D, Лист2!A:A, A494, Лист2!B:B, B494)</f>
        <v>985</v>
      </c>
      <c r="G494" s="7">
        <f>SUMIFS(Лист2!E:E, Лист2!A:A, A494, Лист2!B:B, B494)</f>
        <v>861</v>
      </c>
      <c r="H494" s="7">
        <f t="shared" si="0"/>
        <v>77709.5</v>
      </c>
      <c r="I494" s="21">
        <f t="shared" si="8"/>
        <v>21</v>
      </c>
    </row>
    <row r="495" spans="1:9" ht="14.25" customHeight="1" x14ac:dyDescent="0.25">
      <c r="A495" s="9">
        <v>43983</v>
      </c>
      <c r="B495" s="10" t="s">
        <v>25</v>
      </c>
      <c r="C495" s="10">
        <v>5166</v>
      </c>
      <c r="D495" s="10">
        <v>389013</v>
      </c>
      <c r="E495" s="7">
        <f>SUMIFS(Лист2!C:C, Лист2!A:A, A495, Лист2!B:B, B495)</f>
        <v>9</v>
      </c>
      <c r="F495" s="7">
        <f>SUMIFS(Лист2!D:D, Лист2!A:A, A495, Лист2!B:B, B495)</f>
        <v>294</v>
      </c>
      <c r="G495" s="7">
        <f>SUMIFS(Лист2!E:E, Лист2!A:A, A495, Лист2!B:B, B495)</f>
        <v>224</v>
      </c>
      <c r="H495" s="7">
        <f t="shared" si="0"/>
        <v>43223.666666666664</v>
      </c>
      <c r="I495" s="21">
        <f t="shared" si="8"/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SUMIFS(Лист2!C:C, Лист2!A:A, A496, Лист2!B:B, B496)</f>
        <v>15</v>
      </c>
      <c r="F496" s="7">
        <f>SUMIFS(Лист2!D:D, Лист2!A:A, A496, Лист2!B:B, B496)</f>
        <v>654</v>
      </c>
      <c r="G496" s="7">
        <f>SUMIFS(Лист2!E:E, Лист2!A:A, A496, Лист2!B:B, B496)</f>
        <v>564</v>
      </c>
      <c r="H496" s="7">
        <f t="shared" si="0"/>
        <v>58690.400000000001</v>
      </c>
      <c r="I496" s="21">
        <f t="shared" si="8"/>
        <v>20</v>
      </c>
    </row>
    <row r="497" spans="1:9" ht="14.25" customHeight="1" x14ac:dyDescent="0.25">
      <c r="A497" s="9">
        <v>43969</v>
      </c>
      <c r="B497" s="10" t="s">
        <v>23</v>
      </c>
      <c r="C497" s="10">
        <v>14497.5</v>
      </c>
      <c r="D497" s="10">
        <v>1230711</v>
      </c>
      <c r="E497" s="7">
        <f>SUMIFS(Лист2!C:C, Лист2!A:A, A497, Лист2!B:B, B497)</f>
        <v>16</v>
      </c>
      <c r="F497" s="7">
        <f>SUMIFS(Лист2!D:D, Лист2!A:A, A497, Лист2!B:B, B497)</f>
        <v>864</v>
      </c>
      <c r="G497" s="7">
        <f>SUMIFS(Лист2!E:E, Лист2!A:A, A497, Лист2!B:B, B497)</f>
        <v>765</v>
      </c>
      <c r="H497" s="7">
        <f t="shared" si="0"/>
        <v>76919.4375</v>
      </c>
      <c r="I497" s="21">
        <f t="shared" si="8"/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SUMIFS(Лист2!C:C, Лист2!A:A, A498, Лист2!B:B, B498)</f>
        <v>16</v>
      </c>
      <c r="F498" s="7">
        <f>SUMIFS(Лист2!D:D, Лист2!A:A, A498, Лист2!B:B, B498)</f>
        <v>834</v>
      </c>
      <c r="G498" s="7">
        <f>SUMIFS(Лист2!E:E, Лист2!A:A, A498, Лист2!B:B, B498)</f>
        <v>735</v>
      </c>
      <c r="H498" s="7">
        <f t="shared" si="0"/>
        <v>70729.78125</v>
      </c>
      <c r="I498" s="21">
        <f t="shared" si="8"/>
        <v>20</v>
      </c>
    </row>
    <row r="499" spans="1:9" ht="14.25" customHeight="1" x14ac:dyDescent="0.25">
      <c r="A499" s="9">
        <v>43966</v>
      </c>
      <c r="B499" s="10" t="s">
        <v>23</v>
      </c>
      <c r="C499" s="10">
        <v>13752</v>
      </c>
      <c r="D499" s="10">
        <v>1091040</v>
      </c>
      <c r="E499" s="7">
        <f>SUMIFS(Лист2!C:C, Лист2!A:A, A499, Лист2!B:B, B499)</f>
        <v>16</v>
      </c>
      <c r="F499" s="7">
        <f>SUMIFS(Лист2!D:D, Лист2!A:A, A499, Лист2!B:B, B499)</f>
        <v>817</v>
      </c>
      <c r="G499" s="7">
        <f>SUMIFS(Лист2!E:E, Лист2!A:A, A499, Лист2!B:B, B499)</f>
        <v>718</v>
      </c>
      <c r="H499" s="7">
        <f t="shared" si="0"/>
        <v>68190</v>
      </c>
      <c r="I499" s="21">
        <f t="shared" si="8"/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SUMIFS(Лист2!C:C, Лист2!A:A, A500, Лист2!B:B, B500)</f>
        <v>18</v>
      </c>
      <c r="F500" s="7">
        <f>SUMIFS(Лист2!D:D, Лист2!A:A, A500, Лист2!B:B, B500)</f>
        <v>962</v>
      </c>
      <c r="G500" s="7">
        <f>SUMIFS(Лист2!E:E, Лист2!A:A, A500, Лист2!B:B, B500)</f>
        <v>859</v>
      </c>
      <c r="H500" s="7">
        <f t="shared" si="0"/>
        <v>75011.083333333328</v>
      </c>
      <c r="I500" s="21">
        <f t="shared" si="8"/>
        <v>22</v>
      </c>
    </row>
    <row r="501" spans="1:9" ht="14.25" customHeight="1" x14ac:dyDescent="0.25">
      <c r="A501" s="9">
        <v>43983</v>
      </c>
      <c r="B501" s="10" t="s">
        <v>26</v>
      </c>
      <c r="C501" s="10">
        <v>4408.5</v>
      </c>
      <c r="D501" s="10">
        <v>410892</v>
      </c>
      <c r="E501" s="7">
        <f>SUMIFS(Лист2!C:C, Лист2!A:A, A501, Лист2!B:B, B501)</f>
        <v>6</v>
      </c>
      <c r="F501" s="7">
        <f>SUMIFS(Лист2!D:D, Лист2!A:A, A501, Лист2!B:B, B501)</f>
        <v>237</v>
      </c>
      <c r="G501" s="7">
        <f>SUMIFS(Лист2!E:E, Лист2!A:A, A501, Лист2!B:B, B501)</f>
        <v>175</v>
      </c>
      <c r="H501" s="7">
        <f t="shared" si="0"/>
        <v>68482</v>
      </c>
      <c r="I501" s="21">
        <f t="shared" si="8"/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SUMIFS(Лист2!C:C, Лист2!A:A, A502, Лист2!B:B, B502)</f>
        <v>7</v>
      </c>
      <c r="F502" s="7">
        <f>SUMIFS(Лист2!D:D, Лист2!A:A, A502, Лист2!B:B, B502)</f>
        <v>491</v>
      </c>
      <c r="G502" s="7">
        <f>SUMIFS(Лист2!E:E, Лист2!A:A, A502, Лист2!B:B, B502)</f>
        <v>411</v>
      </c>
      <c r="H502" s="7">
        <f t="shared" si="0"/>
        <v>121548.64285714286</v>
      </c>
      <c r="I502" s="21">
        <f t="shared" si="8"/>
        <v>22</v>
      </c>
    </row>
    <row r="503" spans="1:9" ht="14.25" customHeight="1" x14ac:dyDescent="0.25">
      <c r="A503" s="9">
        <v>43983</v>
      </c>
      <c r="B503" s="10" t="s">
        <v>24</v>
      </c>
      <c r="C503" s="10">
        <v>9474</v>
      </c>
      <c r="D503" s="10">
        <v>802447.5</v>
      </c>
      <c r="E503" s="7">
        <f>SUMIFS(Лист2!C:C, Лист2!A:A, A503, Лист2!B:B, B503)</f>
        <v>7</v>
      </c>
      <c r="F503" s="7">
        <f>SUMIFS(Лист2!D:D, Лист2!A:A, A503, Лист2!B:B, B503)</f>
        <v>500</v>
      </c>
      <c r="G503" s="7">
        <f>SUMIFS(Лист2!E:E, Лист2!A:A, A503, Лист2!B:B, B503)</f>
        <v>418</v>
      </c>
      <c r="H503" s="7">
        <f t="shared" si="0"/>
        <v>114635.35714285714</v>
      </c>
      <c r="I503" s="21">
        <f t="shared" si="8"/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SUMIFS(Лист2!C:C, Лист2!A:A, A504, Лист2!B:B, B504)</f>
        <v>18</v>
      </c>
      <c r="F504" s="7">
        <f>SUMIFS(Лист2!D:D, Лист2!A:A, A504, Лист2!B:B, B504)</f>
        <v>1014</v>
      </c>
      <c r="G504" s="7">
        <f>SUMIFS(Лист2!E:E, Лист2!A:A, A504, Лист2!B:B, B504)</f>
        <v>893</v>
      </c>
      <c r="H504" s="7">
        <f t="shared" si="0"/>
        <v>79903.083333333328</v>
      </c>
      <c r="I504" s="21">
        <f t="shared" si="8"/>
        <v>22</v>
      </c>
    </row>
    <row r="505" spans="1:9" ht="14.25" customHeight="1" x14ac:dyDescent="0.25">
      <c r="A505" s="11">
        <v>43983</v>
      </c>
      <c r="B505" s="12" t="s">
        <v>23</v>
      </c>
      <c r="C505" s="12">
        <v>14238</v>
      </c>
      <c r="D505" s="12">
        <v>1293219</v>
      </c>
      <c r="E505" s="7">
        <f>SUMIFS(Лист2!C:C, Лист2!A:A, A505, Лист2!B:B, B505)</f>
        <v>18</v>
      </c>
      <c r="F505" s="7">
        <f>SUMIFS(Лист2!D:D, Лист2!A:A, A505, Лист2!B:B, B505)</f>
        <v>923</v>
      </c>
      <c r="G505" s="7">
        <f>SUMIFS(Лист2!E:E, Лист2!A:A, A505, Лист2!B:B, B505)</f>
        <v>824</v>
      </c>
      <c r="H505" s="7">
        <f t="shared" si="0"/>
        <v>71845.5</v>
      </c>
      <c r="I505" s="21">
        <f t="shared" si="8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8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8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8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8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8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8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8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8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8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8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8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8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8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8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8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8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8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8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8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8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8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8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8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8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8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8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8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8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8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8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8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8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8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8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8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8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8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8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8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8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8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8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8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8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8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8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8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8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8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8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8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8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8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8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8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8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8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8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8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8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8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8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8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8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8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8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8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8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8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8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8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8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8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8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8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8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8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8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8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8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8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8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8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8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8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8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8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8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8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8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8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8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8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8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8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8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8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8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8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8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8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8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8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8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8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8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8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8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8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8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8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8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8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8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8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8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8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8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8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8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8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8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8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8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8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8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8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8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8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8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8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8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8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8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8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8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8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8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8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8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8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8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8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8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8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8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8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8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8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8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8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8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8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8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8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8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8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8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8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8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8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8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8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8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8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8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8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8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8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8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8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8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8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8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8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8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8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8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8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8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8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8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8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8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8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8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8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8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8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8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8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8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8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8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8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8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8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8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8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8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8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8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8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8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8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8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8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8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8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8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8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8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8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8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8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8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8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8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8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8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8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8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8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8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8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8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8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8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8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8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8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8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8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8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8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8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8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8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8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8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8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8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8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8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8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8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8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8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8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8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8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8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8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8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8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8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8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8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8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8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8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8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8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8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8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8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8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8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8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8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8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8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8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8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8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8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8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8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8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8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8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8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8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8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8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8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8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8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8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8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8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8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8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8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8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8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8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8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8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8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8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8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8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8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8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8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8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8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8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8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8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8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8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8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8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8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8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8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8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8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8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8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8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8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8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8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8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8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8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8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8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8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8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8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8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8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8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8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8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8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8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8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8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8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8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8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8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8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8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8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8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8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8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8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8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8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8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8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8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8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8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8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8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8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8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8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8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8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8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8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8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8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8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8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8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8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8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8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8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8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8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8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8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8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8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8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8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8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8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8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8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8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8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8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8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8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8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8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8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8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8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8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8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8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8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8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8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8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8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8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8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8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8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8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8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8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8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8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8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8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8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8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8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8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8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8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8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8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8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8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8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8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8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8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8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8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8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8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8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8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8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8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8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8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8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8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8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8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8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8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8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8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8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8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8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8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8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8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8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8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8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8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8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8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8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8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8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8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8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8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8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8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8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8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8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8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8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8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8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8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8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8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8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8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8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8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8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8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8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8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8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8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8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8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8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8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8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8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8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8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8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8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8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8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2"/>
  <sheetViews>
    <sheetView workbookViewId="0">
      <selection activeCell="A3" sqref="A3"/>
    </sheetView>
  </sheetViews>
  <sheetFormatPr defaultRowHeight="15" x14ac:dyDescent="0.25"/>
  <cols>
    <col min="1" max="1" width="26.5703125" bestFit="1" customWidth="1"/>
    <col min="2" max="2" width="34" bestFit="1" customWidth="1"/>
    <col min="3" max="3" width="40" bestFit="1" customWidth="1"/>
    <col min="4" max="6" width="12" bestFit="1" customWidth="1"/>
    <col min="7" max="7" width="14.5703125" bestFit="1" customWidth="1"/>
    <col min="8" max="8" width="13.85546875" bestFit="1" customWidth="1"/>
    <col min="9" max="9" width="18" bestFit="1" customWidth="1"/>
    <col min="10" max="10" width="12.85546875" bestFit="1" customWidth="1"/>
    <col min="11" max="11" width="8" customWidth="1"/>
    <col min="12" max="12" width="15.5703125" bestFit="1" customWidth="1"/>
    <col min="13" max="13" width="22.85546875" bestFit="1" customWidth="1"/>
    <col min="14" max="14" width="19.85546875" bestFit="1" customWidth="1"/>
    <col min="15" max="15" width="10" bestFit="1" customWidth="1"/>
    <col min="16" max="16" width="12" bestFit="1" customWidth="1"/>
    <col min="17" max="17" width="13.5703125" bestFit="1" customWidth="1"/>
    <col min="18" max="20" width="12" bestFit="1" customWidth="1"/>
    <col min="21" max="21" width="14.5703125" bestFit="1" customWidth="1"/>
    <col min="22" max="22" width="13.85546875" bestFit="1" customWidth="1"/>
    <col min="23" max="23" width="18" bestFit="1" customWidth="1"/>
    <col min="24" max="24" width="12.85546875" bestFit="1" customWidth="1"/>
    <col min="25" max="25" width="9" customWidth="1"/>
    <col min="26" max="26" width="15.5703125" bestFit="1" customWidth="1"/>
    <col min="27" max="27" width="22.85546875" bestFit="1" customWidth="1"/>
    <col min="28" max="28" width="19.85546875" bestFit="1" customWidth="1"/>
    <col min="29" max="29" width="10" bestFit="1" customWidth="1"/>
    <col min="30" max="30" width="12" bestFit="1" customWidth="1"/>
    <col min="31" max="31" width="13.5703125" bestFit="1" customWidth="1"/>
    <col min="32" max="32" width="12" bestFit="1" customWidth="1"/>
    <col min="33" max="33" width="10.42578125" bestFit="1" customWidth="1"/>
    <col min="34" max="34" width="10.85546875" bestFit="1" customWidth="1"/>
    <col min="35" max="35" width="14.5703125" bestFit="1" customWidth="1"/>
    <col min="36" max="36" width="13.85546875" bestFit="1" customWidth="1"/>
    <col min="37" max="37" width="18" bestFit="1" customWidth="1"/>
    <col min="38" max="38" width="12.85546875" bestFit="1" customWidth="1"/>
    <col min="39" max="39" width="10" bestFit="1" customWidth="1"/>
    <col min="40" max="40" width="15.5703125" bestFit="1" customWidth="1"/>
    <col min="41" max="41" width="22.85546875" bestFit="1" customWidth="1"/>
    <col min="42" max="42" width="19.85546875" bestFit="1" customWidth="1"/>
    <col min="44" max="44" width="12" bestFit="1" customWidth="1"/>
    <col min="45" max="45" width="13.5703125" bestFit="1" customWidth="1"/>
    <col min="46" max="48" width="12" bestFit="1" customWidth="1"/>
    <col min="49" max="49" width="14.5703125" bestFit="1" customWidth="1"/>
    <col min="50" max="50" width="13.85546875" bestFit="1" customWidth="1"/>
    <col min="51" max="51" width="18" bestFit="1" customWidth="1"/>
    <col min="52" max="52" width="12.85546875" bestFit="1" customWidth="1"/>
    <col min="53" max="53" width="12" bestFit="1" customWidth="1"/>
    <col min="54" max="54" width="15.5703125" bestFit="1" customWidth="1"/>
    <col min="55" max="55" width="22.85546875" bestFit="1" customWidth="1"/>
    <col min="56" max="56" width="19.85546875" bestFit="1" customWidth="1"/>
    <col min="58" max="58" width="12" bestFit="1" customWidth="1"/>
    <col min="59" max="59" width="13.5703125" bestFit="1" customWidth="1"/>
    <col min="60" max="62" width="12" bestFit="1" customWidth="1"/>
    <col min="63" max="63" width="14.5703125" bestFit="1" customWidth="1"/>
    <col min="64" max="64" width="13.85546875" bestFit="1" customWidth="1"/>
    <col min="65" max="65" width="18" bestFit="1" customWidth="1"/>
    <col min="66" max="66" width="12.85546875" bestFit="1" customWidth="1"/>
    <col min="67" max="67" width="12" bestFit="1" customWidth="1"/>
    <col min="68" max="68" width="15.5703125" bestFit="1" customWidth="1"/>
    <col min="69" max="69" width="10" bestFit="1" customWidth="1"/>
    <col min="70" max="70" width="22.85546875" bestFit="1" customWidth="1"/>
    <col min="71" max="71" width="19.85546875" bestFit="1" customWidth="1"/>
    <col min="73" max="73" width="7" customWidth="1"/>
    <col min="74" max="74" width="12" bestFit="1" customWidth="1"/>
    <col min="75" max="75" width="9" customWidth="1"/>
    <col min="76" max="76" width="12" bestFit="1" customWidth="1"/>
    <col min="77" max="77" width="13.5703125" bestFit="1" customWidth="1"/>
    <col min="78" max="80" width="12" bestFit="1" customWidth="1"/>
    <col min="81" max="81" width="14.5703125" bestFit="1" customWidth="1"/>
    <col min="82" max="82" width="13.85546875" bestFit="1" customWidth="1"/>
    <col min="83" max="83" width="18" bestFit="1" customWidth="1"/>
    <col min="84" max="84" width="12.85546875" bestFit="1" customWidth="1"/>
    <col min="85" max="85" width="10" bestFit="1" customWidth="1"/>
    <col min="86" max="86" width="15.5703125" bestFit="1" customWidth="1"/>
    <col min="87" max="87" width="7.85546875" customWidth="1"/>
    <col min="88" max="88" width="22.85546875" bestFit="1" customWidth="1"/>
    <col min="89" max="89" width="19.85546875" bestFit="1" customWidth="1"/>
    <col min="91" max="92" width="12" bestFit="1" customWidth="1"/>
    <col min="93" max="93" width="7" customWidth="1"/>
    <col min="94" max="94" width="12" bestFit="1" customWidth="1"/>
  </cols>
  <sheetData>
    <row r="3" spans="1:3" x14ac:dyDescent="0.25">
      <c r="A3" s="14" t="s">
        <v>29</v>
      </c>
      <c r="B3" t="s">
        <v>27</v>
      </c>
      <c r="C3" t="s">
        <v>28</v>
      </c>
    </row>
    <row r="4" spans="1:3" x14ac:dyDescent="0.25">
      <c r="A4" s="18">
        <v>18</v>
      </c>
      <c r="B4" s="17"/>
      <c r="C4" s="17"/>
    </row>
    <row r="5" spans="1:3" x14ac:dyDescent="0.25">
      <c r="A5" s="16" t="s">
        <v>16</v>
      </c>
      <c r="B5" s="17">
        <v>36934095</v>
      </c>
      <c r="C5" s="17">
        <v>170991.18055555556</v>
      </c>
    </row>
    <row r="6" spans="1:3" x14ac:dyDescent="0.25">
      <c r="A6" s="16" t="s">
        <v>11</v>
      </c>
      <c r="B6" s="17">
        <v>42828757.5</v>
      </c>
      <c r="C6" s="17">
        <v>230262.13709677418</v>
      </c>
    </row>
    <row r="7" spans="1:3" x14ac:dyDescent="0.25">
      <c r="A7" s="16" t="s">
        <v>17</v>
      </c>
      <c r="B7" s="17">
        <v>17828215.5</v>
      </c>
      <c r="C7" s="17">
        <v>150976.88157894739</v>
      </c>
    </row>
    <row r="8" spans="1:3" x14ac:dyDescent="0.25">
      <c r="A8" s="16" t="s">
        <v>10</v>
      </c>
      <c r="B8" s="17">
        <v>16029679.5</v>
      </c>
      <c r="C8" s="17">
        <v>144795.50555555554</v>
      </c>
    </row>
    <row r="9" spans="1:3" x14ac:dyDescent="0.25">
      <c r="A9" s="16" t="s">
        <v>20</v>
      </c>
      <c r="B9" s="17">
        <v>13955985</v>
      </c>
      <c r="C9" s="17">
        <v>124681.14839181287</v>
      </c>
    </row>
    <row r="10" spans="1:3" x14ac:dyDescent="0.25">
      <c r="A10" s="16" t="s">
        <v>22</v>
      </c>
      <c r="B10" s="17">
        <v>130713645</v>
      </c>
      <c r="C10" s="17">
        <v>403437.1759259259</v>
      </c>
    </row>
    <row r="11" spans="1:3" x14ac:dyDescent="0.25">
      <c r="A11" s="16" t="s">
        <v>21</v>
      </c>
      <c r="B11" s="17">
        <v>136791225</v>
      </c>
      <c r="C11" s="17">
        <v>386415.8898305085</v>
      </c>
    </row>
    <row r="12" spans="1:3" x14ac:dyDescent="0.25">
      <c r="A12" s="16" t="s">
        <v>13</v>
      </c>
      <c r="B12" s="17">
        <v>13145965.5</v>
      </c>
      <c r="C12" s="17">
        <v>118689.08006535948</v>
      </c>
    </row>
    <row r="13" spans="1:3" x14ac:dyDescent="0.25">
      <c r="A13" s="16" t="s">
        <v>23</v>
      </c>
      <c r="B13" s="17">
        <v>5746024.5</v>
      </c>
      <c r="C13" s="17">
        <v>63844.716666666674</v>
      </c>
    </row>
    <row r="14" spans="1:3" x14ac:dyDescent="0.25">
      <c r="A14" s="16" t="s">
        <v>18</v>
      </c>
      <c r="B14" s="17">
        <v>6961020</v>
      </c>
      <c r="C14" s="17">
        <v>77344.666666666672</v>
      </c>
    </row>
    <row r="15" spans="1:3" x14ac:dyDescent="0.25">
      <c r="A15" s="16" t="s">
        <v>19</v>
      </c>
      <c r="B15" s="17">
        <v>2008809</v>
      </c>
      <c r="C15" s="17">
        <v>33480.15</v>
      </c>
    </row>
    <row r="16" spans="1:3" x14ac:dyDescent="0.25">
      <c r="A16" s="16" t="s">
        <v>15</v>
      </c>
      <c r="B16" s="17">
        <v>233059077</v>
      </c>
      <c r="C16" s="17">
        <v>310745.43599999999</v>
      </c>
    </row>
    <row r="17" spans="1:3" x14ac:dyDescent="0.25">
      <c r="A17" s="16" t="s">
        <v>14</v>
      </c>
      <c r="B17" s="17">
        <v>176269533</v>
      </c>
      <c r="C17" s="17">
        <v>228344.32073643411</v>
      </c>
    </row>
    <row r="18" spans="1:3" x14ac:dyDescent="0.25">
      <c r="A18" s="16" t="s">
        <v>12</v>
      </c>
      <c r="B18" s="17">
        <v>4531000.5</v>
      </c>
      <c r="C18" s="17">
        <v>75516.674999999988</v>
      </c>
    </row>
    <row r="19" spans="1:3" x14ac:dyDescent="0.25">
      <c r="A19" s="18">
        <v>19</v>
      </c>
      <c r="B19" s="17"/>
      <c r="C19" s="17"/>
    </row>
    <row r="20" spans="1:3" x14ac:dyDescent="0.25">
      <c r="A20" s="16" t="s">
        <v>16</v>
      </c>
      <c r="B20" s="17">
        <v>43307155.5</v>
      </c>
      <c r="C20" s="17">
        <v>171853.79166666669</v>
      </c>
    </row>
    <row r="21" spans="1:3" x14ac:dyDescent="0.25">
      <c r="A21" s="16" t="s">
        <v>11</v>
      </c>
      <c r="B21" s="17">
        <v>46366009.5</v>
      </c>
      <c r="C21" s="17">
        <v>213668.24654377881</v>
      </c>
    </row>
    <row r="22" spans="1:3" x14ac:dyDescent="0.25">
      <c r="A22" s="16" t="s">
        <v>17</v>
      </c>
      <c r="B22" s="17">
        <v>20974521</v>
      </c>
      <c r="C22" s="17">
        <v>145474.51989795917</v>
      </c>
    </row>
    <row r="23" spans="1:3" x14ac:dyDescent="0.25">
      <c r="A23" s="16" t="s">
        <v>10</v>
      </c>
      <c r="B23" s="17">
        <v>19479055.5</v>
      </c>
      <c r="C23" s="17">
        <v>135305.71632653062</v>
      </c>
    </row>
    <row r="24" spans="1:3" x14ac:dyDescent="0.25">
      <c r="A24" s="16" t="s">
        <v>20</v>
      </c>
      <c r="B24" s="17">
        <v>16391856</v>
      </c>
      <c r="C24" s="17">
        <v>123247.03759398496</v>
      </c>
    </row>
    <row r="25" spans="1:3" x14ac:dyDescent="0.25">
      <c r="A25" s="16" t="s">
        <v>22</v>
      </c>
      <c r="B25" s="17">
        <v>151642039.5</v>
      </c>
      <c r="C25" s="17">
        <v>401169.41666666669</v>
      </c>
    </row>
    <row r="26" spans="1:3" x14ac:dyDescent="0.25">
      <c r="A26" s="16" t="s">
        <v>21</v>
      </c>
      <c r="B26" s="17">
        <v>159695760</v>
      </c>
      <c r="C26" s="17">
        <v>386672.54237288138</v>
      </c>
    </row>
    <row r="27" spans="1:3" x14ac:dyDescent="0.25">
      <c r="A27" s="16" t="s">
        <v>13</v>
      </c>
      <c r="B27" s="17">
        <v>17149980</v>
      </c>
      <c r="C27" s="17">
        <v>128947.21804511278</v>
      </c>
    </row>
    <row r="28" spans="1:3" x14ac:dyDescent="0.25">
      <c r="A28" s="16" t="s">
        <v>23</v>
      </c>
      <c r="B28" s="17">
        <v>7253572.5</v>
      </c>
      <c r="C28" s="17">
        <v>69081.642857142855</v>
      </c>
    </row>
    <row r="29" spans="1:3" x14ac:dyDescent="0.25">
      <c r="A29" s="16" t="s">
        <v>18</v>
      </c>
      <c r="B29" s="17">
        <v>8778597</v>
      </c>
      <c r="C29" s="17">
        <v>83605.685714285719</v>
      </c>
    </row>
    <row r="30" spans="1:3" x14ac:dyDescent="0.25">
      <c r="A30" s="16" t="s">
        <v>19</v>
      </c>
      <c r="B30" s="17">
        <v>5892277.5</v>
      </c>
      <c r="C30" s="17">
        <v>56116.928571428565</v>
      </c>
    </row>
    <row r="31" spans="1:3" x14ac:dyDescent="0.25">
      <c r="A31" s="16" t="s">
        <v>15</v>
      </c>
      <c r="B31" s="17">
        <v>272762503.5</v>
      </c>
      <c r="C31" s="17">
        <v>311728.57542857144</v>
      </c>
    </row>
    <row r="32" spans="1:3" x14ac:dyDescent="0.25">
      <c r="A32" s="16" t="s">
        <v>14</v>
      </c>
      <c r="B32" s="17">
        <v>208128393.85664999</v>
      </c>
      <c r="C32" s="17">
        <v>230485.48599850497</v>
      </c>
    </row>
    <row r="33" spans="1:3" x14ac:dyDescent="0.25">
      <c r="A33" s="16" t="s">
        <v>12</v>
      </c>
      <c r="B33" s="17">
        <v>6093688.5</v>
      </c>
      <c r="C33" s="17">
        <v>87052.692857142858</v>
      </c>
    </row>
    <row r="34" spans="1:3" x14ac:dyDescent="0.25">
      <c r="A34" s="18">
        <v>20</v>
      </c>
      <c r="B34" s="17"/>
      <c r="C34" s="17"/>
    </row>
    <row r="35" spans="1:3" x14ac:dyDescent="0.25">
      <c r="A35" s="16" t="s">
        <v>16</v>
      </c>
      <c r="B35" s="17">
        <v>41300679</v>
      </c>
      <c r="C35" s="17">
        <v>163891.58333333331</v>
      </c>
    </row>
    <row r="36" spans="1:3" x14ac:dyDescent="0.25">
      <c r="A36" s="16" t="s">
        <v>11</v>
      </c>
      <c r="B36" s="17">
        <v>47079841.5</v>
      </c>
      <c r="C36" s="17">
        <v>216957.79493087556</v>
      </c>
    </row>
    <row r="37" spans="1:3" x14ac:dyDescent="0.25">
      <c r="A37" s="16" t="s">
        <v>17</v>
      </c>
      <c r="B37" s="17">
        <v>23603355</v>
      </c>
      <c r="C37" s="17">
        <v>160567.04081632654</v>
      </c>
    </row>
    <row r="38" spans="1:3" x14ac:dyDescent="0.25">
      <c r="A38" s="16" t="s">
        <v>10</v>
      </c>
      <c r="B38" s="17">
        <v>19724733</v>
      </c>
      <c r="C38" s="17">
        <v>134181.85714285716</v>
      </c>
    </row>
    <row r="39" spans="1:3" x14ac:dyDescent="0.25">
      <c r="A39" s="16" t="s">
        <v>20</v>
      </c>
      <c r="B39" s="17">
        <v>16732521</v>
      </c>
      <c r="C39" s="17">
        <v>125808.42857142857</v>
      </c>
    </row>
    <row r="40" spans="1:3" x14ac:dyDescent="0.25">
      <c r="A40" s="16" t="s">
        <v>22</v>
      </c>
      <c r="B40" s="17">
        <v>135813990</v>
      </c>
      <c r="C40" s="17">
        <v>359296.26984126976</v>
      </c>
    </row>
    <row r="41" spans="1:3" x14ac:dyDescent="0.25">
      <c r="A41" s="16" t="s">
        <v>21</v>
      </c>
      <c r="B41" s="17">
        <v>142825023</v>
      </c>
      <c r="C41" s="17">
        <v>340059.57857142854</v>
      </c>
    </row>
    <row r="42" spans="1:3" x14ac:dyDescent="0.25">
      <c r="A42" s="16" t="s">
        <v>13</v>
      </c>
      <c r="B42" s="17">
        <v>19963153.5</v>
      </c>
      <c r="C42" s="17">
        <v>150098.89849624061</v>
      </c>
    </row>
    <row r="43" spans="1:3" x14ac:dyDescent="0.25">
      <c r="A43" s="16" t="s">
        <v>23</v>
      </c>
      <c r="B43" s="17">
        <v>7841920.5</v>
      </c>
      <c r="C43" s="17">
        <v>71889.364285714299</v>
      </c>
    </row>
    <row r="44" spans="1:3" x14ac:dyDescent="0.25">
      <c r="A44" s="16" t="s">
        <v>18</v>
      </c>
      <c r="B44" s="17">
        <v>9036316.5</v>
      </c>
      <c r="C44" s="17">
        <v>86060.157142857133</v>
      </c>
    </row>
    <row r="45" spans="1:3" x14ac:dyDescent="0.25">
      <c r="A45" s="16" t="s">
        <v>19</v>
      </c>
      <c r="B45" s="17">
        <v>7382458.5</v>
      </c>
      <c r="C45" s="17">
        <v>70309.128571428577</v>
      </c>
    </row>
    <row r="46" spans="1:3" x14ac:dyDescent="0.25">
      <c r="A46" s="16" t="s">
        <v>15</v>
      </c>
      <c r="B46" s="17">
        <v>269949999</v>
      </c>
      <c r="C46" s="17">
        <v>308514.28457142849</v>
      </c>
    </row>
    <row r="47" spans="1:3" x14ac:dyDescent="0.25">
      <c r="A47" s="16" t="s">
        <v>14</v>
      </c>
      <c r="B47" s="17">
        <v>199569624.22395</v>
      </c>
      <c r="C47" s="17">
        <v>221007.3357961794</v>
      </c>
    </row>
    <row r="48" spans="1:3" x14ac:dyDescent="0.25">
      <c r="A48" s="16" t="s">
        <v>12</v>
      </c>
      <c r="B48" s="17">
        <v>6439392</v>
      </c>
      <c r="C48" s="17">
        <v>91991.314285714281</v>
      </c>
    </row>
    <row r="49" spans="1:3" x14ac:dyDescent="0.25">
      <c r="A49" s="18">
        <v>21</v>
      </c>
      <c r="B49" s="17"/>
      <c r="C49" s="17"/>
    </row>
    <row r="50" spans="1:3" x14ac:dyDescent="0.25">
      <c r="A50" s="16" t="s">
        <v>16</v>
      </c>
      <c r="B50" s="17">
        <v>44172813</v>
      </c>
      <c r="C50" s="17">
        <v>175288.9404761905</v>
      </c>
    </row>
    <row r="51" spans="1:3" x14ac:dyDescent="0.25">
      <c r="A51" s="16" t="s">
        <v>11</v>
      </c>
      <c r="B51" s="17">
        <v>49575288</v>
      </c>
      <c r="C51" s="17">
        <v>228457.54838709676</v>
      </c>
    </row>
    <row r="52" spans="1:3" x14ac:dyDescent="0.25">
      <c r="A52" s="16" t="s">
        <v>17</v>
      </c>
      <c r="B52" s="17">
        <v>26815804.5</v>
      </c>
      <c r="C52" s="17">
        <v>182420.43877551021</v>
      </c>
    </row>
    <row r="53" spans="1:3" x14ac:dyDescent="0.25">
      <c r="A53" s="16" t="s">
        <v>10</v>
      </c>
      <c r="B53" s="17">
        <v>20915751</v>
      </c>
      <c r="C53" s="17">
        <v>143278.83214285714</v>
      </c>
    </row>
    <row r="54" spans="1:3" x14ac:dyDescent="0.25">
      <c r="A54" s="16" t="s">
        <v>20</v>
      </c>
      <c r="B54" s="17">
        <v>17647479</v>
      </c>
      <c r="C54" s="17">
        <v>132687.81203007518</v>
      </c>
    </row>
    <row r="55" spans="1:3" x14ac:dyDescent="0.25">
      <c r="A55" s="16" t="s">
        <v>22</v>
      </c>
      <c r="B55" s="17">
        <v>149589546</v>
      </c>
      <c r="C55" s="17">
        <v>395739.53968253965</v>
      </c>
    </row>
    <row r="56" spans="1:3" x14ac:dyDescent="0.25">
      <c r="A56" s="16" t="s">
        <v>21</v>
      </c>
      <c r="B56" s="17">
        <v>157512358.5</v>
      </c>
      <c r="C56" s="17">
        <v>375029.42499999993</v>
      </c>
    </row>
    <row r="57" spans="1:3" x14ac:dyDescent="0.25">
      <c r="A57" s="16" t="s">
        <v>13</v>
      </c>
      <c r="B57" s="17">
        <v>20713983</v>
      </c>
      <c r="C57" s="17">
        <v>152091.94511278198</v>
      </c>
    </row>
    <row r="58" spans="1:3" x14ac:dyDescent="0.25">
      <c r="A58" s="16" t="s">
        <v>23</v>
      </c>
      <c r="B58" s="17">
        <v>8990269.5</v>
      </c>
      <c r="C58" s="17">
        <v>73666.854516806721</v>
      </c>
    </row>
    <row r="59" spans="1:3" x14ac:dyDescent="0.25">
      <c r="A59" s="16" t="s">
        <v>18</v>
      </c>
      <c r="B59" s="17">
        <v>10598445</v>
      </c>
      <c r="C59" s="17">
        <v>91185.075630252119</v>
      </c>
    </row>
    <row r="60" spans="1:3" x14ac:dyDescent="0.25">
      <c r="A60" s="16" t="s">
        <v>19</v>
      </c>
      <c r="B60" s="17">
        <v>8638525.5</v>
      </c>
      <c r="C60" s="17">
        <v>82271.671428571426</v>
      </c>
    </row>
    <row r="61" spans="1:3" x14ac:dyDescent="0.25">
      <c r="A61" s="16" t="s">
        <v>15</v>
      </c>
      <c r="B61" s="17">
        <v>275539431.56999999</v>
      </c>
      <c r="C61" s="17">
        <v>314902.20750857145</v>
      </c>
    </row>
    <row r="62" spans="1:3" x14ac:dyDescent="0.25">
      <c r="A62" s="16" t="s">
        <v>14</v>
      </c>
      <c r="B62" s="17">
        <v>204608809.47659999</v>
      </c>
      <c r="C62" s="17">
        <v>226587.82887774086</v>
      </c>
    </row>
    <row r="63" spans="1:3" x14ac:dyDescent="0.25">
      <c r="A63" s="16" t="s">
        <v>12</v>
      </c>
      <c r="B63" s="17">
        <v>7373379</v>
      </c>
      <c r="C63" s="17">
        <v>105333.98571428574</v>
      </c>
    </row>
    <row r="64" spans="1:3" x14ac:dyDescent="0.25">
      <c r="A64" s="18">
        <v>22</v>
      </c>
      <c r="B64" s="17"/>
      <c r="C64" s="17"/>
    </row>
    <row r="65" spans="1:3" x14ac:dyDescent="0.25">
      <c r="A65" s="16" t="s">
        <v>16</v>
      </c>
      <c r="B65" s="17">
        <v>46485094.5</v>
      </c>
      <c r="C65" s="17">
        <v>181361.96219433719</v>
      </c>
    </row>
    <row r="66" spans="1:3" x14ac:dyDescent="0.25">
      <c r="A66" s="16" t="s">
        <v>11</v>
      </c>
      <c r="B66" s="17">
        <v>50729185.5</v>
      </c>
      <c r="C66" s="17">
        <v>233775.04838709676</v>
      </c>
    </row>
    <row r="67" spans="1:3" x14ac:dyDescent="0.25">
      <c r="A67" s="16" t="s">
        <v>17</v>
      </c>
      <c r="B67" s="17">
        <v>27495690</v>
      </c>
      <c r="C67" s="17">
        <v>180830.38735177866</v>
      </c>
    </row>
    <row r="68" spans="1:3" x14ac:dyDescent="0.25">
      <c r="A68" s="16" t="s">
        <v>10</v>
      </c>
      <c r="B68" s="17">
        <v>22579281</v>
      </c>
      <c r="C68" s="17">
        <v>160098.9816326531</v>
      </c>
    </row>
    <row r="69" spans="1:3" x14ac:dyDescent="0.25">
      <c r="A69" s="16" t="s">
        <v>20</v>
      </c>
      <c r="B69" s="17">
        <v>18595773</v>
      </c>
      <c r="C69" s="17">
        <v>131876.49948979591</v>
      </c>
    </row>
    <row r="70" spans="1:3" x14ac:dyDescent="0.25">
      <c r="A70" s="16" t="s">
        <v>22</v>
      </c>
      <c r="B70" s="17">
        <v>151451013</v>
      </c>
      <c r="C70" s="17">
        <v>400664.0555555555</v>
      </c>
    </row>
    <row r="71" spans="1:3" x14ac:dyDescent="0.25">
      <c r="A71" s="16" t="s">
        <v>21</v>
      </c>
      <c r="B71" s="17">
        <v>157857214.5</v>
      </c>
      <c r="C71" s="17">
        <v>381392.13625907991</v>
      </c>
    </row>
    <row r="72" spans="1:3" x14ac:dyDescent="0.25">
      <c r="A72" s="16" t="s">
        <v>13</v>
      </c>
      <c r="B72" s="17">
        <v>21605704.5</v>
      </c>
      <c r="C72" s="17">
        <v>154326.46071428573</v>
      </c>
    </row>
    <row r="73" spans="1:3" x14ac:dyDescent="0.25">
      <c r="A73" s="16" t="s">
        <v>23</v>
      </c>
      <c r="B73" s="17">
        <v>9909624</v>
      </c>
      <c r="C73" s="17">
        <v>78647.809523809512</v>
      </c>
    </row>
    <row r="74" spans="1:3" x14ac:dyDescent="0.25">
      <c r="A74" s="16" t="s">
        <v>18</v>
      </c>
      <c r="B74" s="17">
        <v>11902053</v>
      </c>
      <c r="C74" s="17">
        <v>100017.25210084033</v>
      </c>
    </row>
    <row r="75" spans="1:3" x14ac:dyDescent="0.25">
      <c r="A75" s="16" t="s">
        <v>19</v>
      </c>
      <c r="B75" s="17">
        <v>9328845</v>
      </c>
      <c r="C75" s="17">
        <v>85432.662499999991</v>
      </c>
    </row>
    <row r="76" spans="1:3" x14ac:dyDescent="0.25">
      <c r="A76" s="16" t="s">
        <v>9</v>
      </c>
      <c r="B76" s="17">
        <v>2706253.5</v>
      </c>
      <c r="C76" s="17">
        <v>45104.225000000006</v>
      </c>
    </row>
    <row r="77" spans="1:3" x14ac:dyDescent="0.25">
      <c r="A77" s="16" t="s">
        <v>15</v>
      </c>
      <c r="B77" s="17">
        <v>292155049.5</v>
      </c>
      <c r="C77" s="17">
        <v>336584.15841013828</v>
      </c>
    </row>
    <row r="78" spans="1:3" x14ac:dyDescent="0.25">
      <c r="A78" s="16" t="s">
        <v>14</v>
      </c>
      <c r="B78" s="17">
        <v>219265928.75384998</v>
      </c>
      <c r="C78" s="17">
        <v>242819.41168754152</v>
      </c>
    </row>
    <row r="79" spans="1:3" x14ac:dyDescent="0.25">
      <c r="A79" s="16" t="s">
        <v>12</v>
      </c>
      <c r="B79" s="17">
        <v>7762362</v>
      </c>
      <c r="C79" s="17">
        <v>110890.8857142857</v>
      </c>
    </row>
    <row r="80" spans="1:3" x14ac:dyDescent="0.25">
      <c r="A80" s="16" t="s">
        <v>25</v>
      </c>
      <c r="B80" s="17">
        <v>493893</v>
      </c>
      <c r="C80" s="17">
        <v>54877</v>
      </c>
    </row>
    <row r="81" spans="1:3" x14ac:dyDescent="0.25">
      <c r="A81" s="16" t="s">
        <v>24</v>
      </c>
      <c r="B81" s="17">
        <v>4861708.5</v>
      </c>
      <c r="C81" s="17">
        <v>115754.96428571428</v>
      </c>
    </row>
    <row r="82" spans="1:3" x14ac:dyDescent="0.25">
      <c r="A82" s="16" t="s">
        <v>26</v>
      </c>
      <c r="B82" s="17">
        <v>468835.5</v>
      </c>
      <c r="C82" s="17">
        <v>78139.25</v>
      </c>
    </row>
    <row r="83" spans="1:3" x14ac:dyDescent="0.25">
      <c r="A83" s="18">
        <v>23</v>
      </c>
      <c r="B83" s="17"/>
      <c r="C83" s="17"/>
    </row>
    <row r="84" spans="1:3" x14ac:dyDescent="0.25">
      <c r="A84" s="16" t="s">
        <v>16</v>
      </c>
      <c r="B84" s="17">
        <v>5800290</v>
      </c>
      <c r="C84" s="17">
        <v>156764.59459459459</v>
      </c>
    </row>
    <row r="85" spans="1:3" x14ac:dyDescent="0.25">
      <c r="A85" s="16" t="s">
        <v>11</v>
      </c>
      <c r="B85" s="17">
        <v>6829921.5</v>
      </c>
      <c r="C85" s="17">
        <v>220320.04838709679</v>
      </c>
    </row>
    <row r="86" spans="1:3" x14ac:dyDescent="0.25">
      <c r="A86" s="16" t="s">
        <v>17</v>
      </c>
      <c r="B86" s="17">
        <v>3865251</v>
      </c>
      <c r="C86" s="17">
        <v>168054.39130434784</v>
      </c>
    </row>
    <row r="87" spans="1:3" x14ac:dyDescent="0.25">
      <c r="A87" s="16" t="s">
        <v>10</v>
      </c>
      <c r="B87" s="17">
        <v>2945035.5</v>
      </c>
      <c r="C87" s="17">
        <v>140239.78571428571</v>
      </c>
    </row>
    <row r="88" spans="1:3" x14ac:dyDescent="0.25">
      <c r="A88" s="16" t="s">
        <v>20</v>
      </c>
      <c r="B88" s="17">
        <v>2538967.5</v>
      </c>
      <c r="C88" s="17">
        <v>120903.21428571429</v>
      </c>
    </row>
    <row r="89" spans="1:3" x14ac:dyDescent="0.25">
      <c r="A89" s="16" t="s">
        <v>22</v>
      </c>
      <c r="B89" s="17">
        <v>18914194.5</v>
      </c>
      <c r="C89" s="17">
        <v>350262.86111111112</v>
      </c>
    </row>
    <row r="90" spans="1:3" x14ac:dyDescent="0.25">
      <c r="A90" s="16" t="s">
        <v>21</v>
      </c>
      <c r="B90" s="17">
        <v>19465372.5</v>
      </c>
      <c r="C90" s="17">
        <v>329921.56779661018</v>
      </c>
    </row>
    <row r="91" spans="1:3" x14ac:dyDescent="0.25">
      <c r="A91" s="16" t="s">
        <v>13</v>
      </c>
      <c r="B91" s="17">
        <v>3013512</v>
      </c>
      <c r="C91" s="17">
        <v>150675.6</v>
      </c>
    </row>
    <row r="92" spans="1:3" x14ac:dyDescent="0.25">
      <c r="A92" s="16" t="s">
        <v>23</v>
      </c>
      <c r="B92" s="17">
        <v>1293219</v>
      </c>
      <c r="C92" s="17">
        <v>71845.5</v>
      </c>
    </row>
    <row r="93" spans="1:3" x14ac:dyDescent="0.25">
      <c r="A93" s="16" t="s">
        <v>18</v>
      </c>
      <c r="B93" s="17">
        <v>1526608.5</v>
      </c>
      <c r="C93" s="17">
        <v>89800.5</v>
      </c>
    </row>
    <row r="94" spans="1:3" x14ac:dyDescent="0.25">
      <c r="A94" s="16" t="s">
        <v>19</v>
      </c>
      <c r="B94" s="17">
        <v>1565632.5</v>
      </c>
      <c r="C94" s="17">
        <v>97852.03125</v>
      </c>
    </row>
    <row r="95" spans="1:3" x14ac:dyDescent="0.25">
      <c r="A95" s="16" t="s">
        <v>9</v>
      </c>
      <c r="B95" s="17">
        <v>636345</v>
      </c>
      <c r="C95" s="17">
        <v>42423</v>
      </c>
    </row>
    <row r="96" spans="1:3" x14ac:dyDescent="0.25">
      <c r="A96" s="16" t="s">
        <v>15</v>
      </c>
      <c r="B96" s="17">
        <v>37257840.18135</v>
      </c>
      <c r="C96" s="17">
        <v>302909.26976707316</v>
      </c>
    </row>
    <row r="97" spans="1:3" x14ac:dyDescent="0.25">
      <c r="A97" s="16" t="s">
        <v>14</v>
      </c>
      <c r="B97" s="17">
        <v>27770092.5</v>
      </c>
      <c r="C97" s="17">
        <v>216953.84765625</v>
      </c>
    </row>
    <row r="98" spans="1:3" x14ac:dyDescent="0.25">
      <c r="A98" s="16" t="s">
        <v>12</v>
      </c>
      <c r="B98" s="17">
        <v>1007742</v>
      </c>
      <c r="C98" s="17">
        <v>100774.2</v>
      </c>
    </row>
    <row r="99" spans="1:3" x14ac:dyDescent="0.25">
      <c r="A99" s="16" t="s">
        <v>25</v>
      </c>
      <c r="B99" s="17">
        <v>389013</v>
      </c>
      <c r="C99" s="17">
        <v>43223.666666666664</v>
      </c>
    </row>
    <row r="100" spans="1:3" x14ac:dyDescent="0.25">
      <c r="A100" s="16" t="s">
        <v>24</v>
      </c>
      <c r="B100" s="17">
        <v>802447.5</v>
      </c>
      <c r="C100" s="17">
        <v>114635.35714285714</v>
      </c>
    </row>
    <row r="101" spans="1:3" x14ac:dyDescent="0.25">
      <c r="A101" s="16" t="s">
        <v>26</v>
      </c>
      <c r="B101" s="17">
        <v>410892</v>
      </c>
      <c r="C101" s="17">
        <v>68482</v>
      </c>
    </row>
    <row r="102" spans="1:3" x14ac:dyDescent="0.25">
      <c r="A102" s="18" t="s">
        <v>31</v>
      </c>
      <c r="B102" s="17">
        <v>4962359217.0623999</v>
      </c>
      <c r="C102" s="17">
        <v>183260.13954707855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30" sqref="D30"/>
    </sheetView>
  </sheetViews>
  <sheetFormatPr defaultRowHeight="15" x14ac:dyDescent="0.25"/>
  <cols>
    <col min="1" max="1" width="22.85546875" customWidth="1"/>
    <col min="2" max="2" width="34" bestFit="1" customWidth="1"/>
    <col min="3" max="3" width="40" bestFit="1" customWidth="1"/>
    <col min="4" max="4" width="35" bestFit="1" customWidth="1"/>
  </cols>
  <sheetData>
    <row r="1" spans="1:4" x14ac:dyDescent="0.25">
      <c r="A1" s="14" t="s">
        <v>8</v>
      </c>
      <c r="B1" s="18">
        <v>23</v>
      </c>
    </row>
    <row r="3" spans="1:4" x14ac:dyDescent="0.25">
      <c r="A3" s="14" t="s">
        <v>29</v>
      </c>
      <c r="B3" t="s">
        <v>27</v>
      </c>
      <c r="C3" t="s">
        <v>28</v>
      </c>
      <c r="D3" t="s">
        <v>30</v>
      </c>
    </row>
    <row r="4" spans="1:4" x14ac:dyDescent="0.25">
      <c r="A4" s="15" t="s">
        <v>21</v>
      </c>
      <c r="B4" s="17">
        <v>19465372.5</v>
      </c>
      <c r="C4" s="17">
        <v>329921.56779661018</v>
      </c>
      <c r="D4" s="13">
        <v>0.23037769037701872</v>
      </c>
    </row>
    <row r="5" spans="1:4" x14ac:dyDescent="0.25">
      <c r="A5" s="15" t="s">
        <v>15</v>
      </c>
      <c r="B5" s="17">
        <v>37257840.18135</v>
      </c>
      <c r="C5" s="17">
        <v>302909.26976707316</v>
      </c>
      <c r="D5" s="13">
        <v>0.44095612192448397</v>
      </c>
    </row>
    <row r="6" spans="1:4" x14ac:dyDescent="0.25">
      <c r="A6" s="15" t="s">
        <v>14</v>
      </c>
      <c r="B6" s="17">
        <v>27770092.5</v>
      </c>
      <c r="C6" s="17">
        <v>216953.84765625</v>
      </c>
      <c r="D6" s="13">
        <v>0.32866618769849743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31" sqref="D31"/>
    </sheetView>
  </sheetViews>
  <sheetFormatPr defaultRowHeight="15" x14ac:dyDescent="0.25"/>
  <cols>
    <col min="1" max="1" width="22.85546875" customWidth="1"/>
    <col min="2" max="2" width="34" bestFit="1" customWidth="1"/>
    <col min="3" max="3" width="40" bestFit="1" customWidth="1"/>
    <col min="4" max="4" width="35" bestFit="1" customWidth="1"/>
  </cols>
  <sheetData>
    <row r="1" spans="1:4" x14ac:dyDescent="0.25">
      <c r="A1" s="14" t="s">
        <v>8</v>
      </c>
      <c r="B1" s="18">
        <v>23</v>
      </c>
    </row>
    <row r="3" spans="1:4" x14ac:dyDescent="0.25">
      <c r="A3" s="14" t="s">
        <v>29</v>
      </c>
      <c r="B3" t="s">
        <v>27</v>
      </c>
      <c r="C3" t="s">
        <v>28</v>
      </c>
      <c r="D3" t="s">
        <v>30</v>
      </c>
    </row>
    <row r="4" spans="1:4" x14ac:dyDescent="0.25">
      <c r="A4" s="15" t="s">
        <v>22</v>
      </c>
      <c r="B4" s="17">
        <v>18914194.5</v>
      </c>
      <c r="C4" s="17">
        <v>350262.86111111112</v>
      </c>
      <c r="D4" s="13">
        <v>0.2500640252600263</v>
      </c>
    </row>
    <row r="5" spans="1:4" x14ac:dyDescent="0.25">
      <c r="A5" s="15" t="s">
        <v>21</v>
      </c>
      <c r="B5" s="17">
        <v>19465372.5</v>
      </c>
      <c r="C5" s="17">
        <v>329921.56779661018</v>
      </c>
      <c r="D5" s="13">
        <v>0.2573511338553604</v>
      </c>
    </row>
    <row r="6" spans="1:4" x14ac:dyDescent="0.25">
      <c r="A6" s="15" t="s">
        <v>15</v>
      </c>
      <c r="B6" s="17">
        <v>37257840.18135</v>
      </c>
      <c r="C6" s="17">
        <v>302909.26976707316</v>
      </c>
      <c r="D6" s="13">
        <v>0.49258484088461341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abSelected="1" workbookViewId="0">
      <selection activeCell="B34" sqref="B34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</cols>
  <sheetData>
    <row r="3" spans="1:3" x14ac:dyDescent="0.25">
      <c r="A3" s="14" t="s">
        <v>29</v>
      </c>
      <c r="B3" t="s">
        <v>27</v>
      </c>
      <c r="C3" t="s">
        <v>28</v>
      </c>
    </row>
    <row r="4" spans="1:3" x14ac:dyDescent="0.25">
      <c r="A4" s="18">
        <v>18</v>
      </c>
      <c r="B4" s="17">
        <v>836803032</v>
      </c>
      <c r="C4" s="17">
        <v>183538.89615147864</v>
      </c>
    </row>
    <row r="5" spans="1:3" x14ac:dyDescent="0.25">
      <c r="A5" s="18">
        <v>19</v>
      </c>
      <c r="B5" s="17">
        <v>983915409.85664999</v>
      </c>
      <c r="C5" s="17">
        <v>181743.53575290408</v>
      </c>
    </row>
    <row r="6" spans="1:3" x14ac:dyDescent="0.25">
      <c r="A6" s="18">
        <v>20</v>
      </c>
      <c r="B6" s="17">
        <v>947263006.72395003</v>
      </c>
      <c r="C6" s="17">
        <v>178616.64545407731</v>
      </c>
    </row>
    <row r="7" spans="1:3" x14ac:dyDescent="0.25">
      <c r="A7" s="18">
        <v>21</v>
      </c>
      <c r="B7" s="17">
        <v>1002691883.0466</v>
      </c>
      <c r="C7" s="17">
        <v>191353.00752023421</v>
      </c>
    </row>
    <row r="8" spans="1:3" x14ac:dyDescent="0.25">
      <c r="A8" s="18">
        <v>22</v>
      </c>
      <c r="B8" s="17">
        <v>1055653508.75385</v>
      </c>
      <c r="C8" s="17">
        <v>185990.79014875146</v>
      </c>
    </row>
    <row r="9" spans="1:3" x14ac:dyDescent="0.25">
      <c r="A9" s="18">
        <v>23</v>
      </c>
      <c r="B9" s="17">
        <v>136032376.68134999</v>
      </c>
      <c r="C9" s="17">
        <v>154780.07975981152</v>
      </c>
    </row>
    <row r="10" spans="1:3" x14ac:dyDescent="0.25">
      <c r="A10" s="18" t="s">
        <v>31</v>
      </c>
      <c r="B10" s="17">
        <v>4962359217.0623989</v>
      </c>
      <c r="C10" s="17">
        <v>183260.13954707855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1.1 </vt:lpstr>
      <vt:lpstr>1.1.а) топ3 по доле ...</vt:lpstr>
      <vt:lpstr>1.1.а)топ3 по товарооб на склад</vt:lpstr>
      <vt:lpstr>1.2 Диаграмма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Dias</cp:lastModifiedBy>
  <dcterms:created xsi:type="dcterms:W3CDTF">2021-09-13T10:17:58Z</dcterms:created>
  <dcterms:modified xsi:type="dcterms:W3CDTF">2026-03-28T15:59:29Z</dcterms:modified>
</cp:coreProperties>
</file>